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2c08aa4eb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cb4b2573f5064550"/>
    <x:sheet xmlns:r="http://schemas.openxmlformats.org/officeDocument/2006/relationships" name="Pagos" sheetId="2" r:id="R504001e451cc44b3"/>
    <x:sheet xmlns:r="http://schemas.openxmlformats.org/officeDocument/2006/relationships" name="Guía" sheetId="3" r:id="Re48cbb150761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&quot;RD$ &quot;#,##0.00"/>
    <x:numFmt numFmtId="203" formatCode="0"/>
  </x:numFmts>
  <x:fonts count="6">
    <x:font>
      <x:sz val="11"/>
      <x:name val="Carlito"/>
    </x:font>
    <x:font>
      <x:sz val="11"/>
      <x:color rgb="FF273B34"/>
      <x:name val="Arial"/>
    </x:font>
    <x:font>
      <x:b/>
      <x:sz val="11"/>
      <x:color rgb="FFFFFFFF"/>
      <x:name val="Arial"/>
    </x:font>
    <x:font>
      <x:sz val="11"/>
      <x:color rgb="FF225644"/>
      <x:name val="Arial"/>
    </x:font>
    <x:font>
      <x:b/>
      <x:sz val="16"/>
      <x:color rgb="FF225644"/>
      <x:name val="Arial"/>
    </x:font>
    <x:font>
      <x:b/>
      <x:sz val="11"/>
      <x:color rgb="FF2256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5644"/>
      </x:patternFill>
    </x:fill>
    <x:fill>
      <x:patternFill patternType="solid">
        <x:fgColor rgb="FFFFFCF4"/>
      </x:patternFill>
    </x:fill>
    <x:fill>
      <x:patternFill patternType="solid">
        <x:fgColor rgb="FFEFF5F1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85114"/>
      </x:font>
    </x:dxf>
    <x:dxf>
      <x:font>
        <x:b/>
        <x:color rgb="FF7C3F9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46cab0fa1455c" /><Relationship Type="http://schemas.openxmlformats.org/officeDocument/2006/relationships/theme" Target="/xl/theme/theme1.xml" Id="R313f5e34ad064a50" /><Relationship Type="http://schemas.openxmlformats.org/officeDocument/2006/relationships/sharedStrings" Target="/xl/sharedStrings.xml" Id="R24cfc9881fd2427d" /><Relationship Type="http://schemas.openxmlformats.org/officeDocument/2006/relationships/worksheet" Target="/xl/worksheets/sheet1.xml" Id="Rcb4b2573f5064550" /><Relationship Type="http://schemas.openxmlformats.org/officeDocument/2006/relationships/worksheet" Target="/xl/worksheets/sheet2.xml" Id="R504001e451cc44b3" /><Relationship Type="http://schemas.openxmlformats.org/officeDocument/2006/relationships/worksheet" Target="/xl/worksheets/sheet3.xml" Id="Re48cbb150761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564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33" hidden="0" customWidth="1"/>
    <x:col min="6" max="6" width="20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6" hidden="0" customWidth="1"/>
    <x:col min="16" max="16" width="12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6" hidden="0" customWidth="1"/>
  </x:cols>
  <x:sheetData>
    <x:row r="1" ht="42" customHeight="1">
      <x:c r="A1" s="11" t="str">
        <x:v>ID Pedido</x:v>
      </x:c>
      <x:c r="B1" s="12" t="str">
        <x:v>Cliente</x:v>
      </x:c>
      <x:c r="C1" s="12" t="str">
        <x:v>Teléfono</x:v>
      </x:c>
      <x:c r="D1" s="12" t="str">
        <x:v>Fecha</x:v>
      </x:c>
      <x:c r="E1" s="12" t="str">
        <x:v>Artículo</x:v>
      </x:c>
      <x:c r="F1" s="12" t="str">
        <x:v>Plataforma</x:v>
      </x:c>
      <x:c r="G1" s="12" t="str">
        <x:v>Unidades</x:v>
      </x:c>
      <x:c r="H1" s="12" t="str">
        <x:v>Precio unitario</x:v>
      </x:c>
      <x:c r="I1" s="12" t="str">
        <x:v>Cargos extra</x:v>
      </x:c>
      <x:c r="J1" s="12" t="str">
        <x:v>Descuento</x:v>
      </x:c>
      <x:c r="K1" s="12" t="str">
        <x:v>Pagado a tienda</x:v>
      </x:c>
      <x:c r="L1" s="12" t="str">
        <x:v>Estado</x:v>
      </x:c>
      <x:c r="M1" s="12" t="str">
        <x:v>Fecha de entrega</x:v>
      </x:c>
      <x:c r="N1" s="12" t="str">
        <x:v>Lote</x:v>
      </x:c>
      <x:c r="O1" s="12" t="str">
        <x:v>Notas</x:v>
      </x:c>
      <x:c r="P1" s="12" t="str">
        <x:v>Revisión</x:v>
      </x:c>
      <x:c r="Q1" s="12" t="str">
        <x:v>Foto</x:v>
      </x:c>
      <x:c r="R1" s="12" t="str">
        <x:v>Total a cobrar</x:v>
      </x:c>
      <x:c r="S1" s="12" t="str">
        <x:v>Pagado por cliente</x:v>
      </x:c>
      <x:c r="T1" s="12" t="str">
        <x:v>Saldo pendiente</x:v>
      </x:c>
      <x:c r="U1" s="13" t="str">
        <x:v>Variante</x:v>
      </x:c>
    </x:row>
    <x:row r="2" ht="80" customHeight="1">
      <x:c r="A2" s="15"/>
      <x:c r="B2" s="15"/>
      <x:c r="C2" s="15"/>
      <x:c r="D2" s="16"/>
      <x:c r="E2" s="14"/>
      <x:c r="F2" s="14"/>
      <x:c r="G2" s="18"/>
      <x:c r="H2" s="17"/>
      <x:c r="I2" s="17"/>
      <x:c r="J2" s="17"/>
      <x:c r="K2" s="17"/>
      <x:c r="L2" s="14"/>
      <x:c r="M2" s="16"/>
      <x:c r="N2" s="14"/>
      <x:c r="O2" s="14"/>
      <x:c r="P2" s="18"/>
      <x:c r="Q2" s="15"/>
      <x:c r="R2" s="20" t="str">
        <x:f>IF(E2="","",IF(L2="Cancelado",0,IF(G2="",1,G2)*H2+I2-J2))</x:f>
      </x:c>
      <x:c r="S2" s="20" t="str">
        <x:f>IF(E2="","",SUMIFS('Pagos'!$D$2:$D$3001,'Pagos'!$B$2:$B$3001,A2,'Pagos'!$C$2:$C$3001,"Abono")-SUMIFS('Pagos'!$D$2:$D$3001,'Pagos'!$B$2:$B$3001,A2,'Pagos'!$C$2:$C$3001,"Devolución"))</x:f>
      </x:c>
      <x:c r="T2" s="20" t="str">
        <x:f>IF(E2="","",R2-S2)</x:f>
      </x:c>
      <x:c r="U2" s="14"/>
    </x:row>
    <x:row r="3" ht="80" customHeight="1">
      <x:c r="A3" s="15"/>
      <x:c r="B3" s="15"/>
      <x:c r="C3" s="15"/>
      <x:c r="D3" s="16"/>
      <x:c r="E3" s="14"/>
      <x:c r="F3" s="14"/>
      <x:c r="G3" s="18"/>
      <x:c r="H3" s="17"/>
      <x:c r="I3" s="17"/>
      <x:c r="J3" s="17"/>
      <x:c r="K3" s="17"/>
      <x:c r="L3" s="14"/>
      <x:c r="M3" s="16"/>
      <x:c r="N3" s="14"/>
      <x:c r="O3" s="14"/>
      <x:c r="P3" s="18"/>
      <x:c r="Q3" s="15"/>
      <x:c r="R3" s="20" t="str">
        <x:f>IF(E3="","",IF(L3="Cancelado",0,IF(G3="",1,G3)*H3+I3-J3))</x:f>
      </x:c>
      <x:c r="S3" s="20" t="str">
        <x:f>IF(E3="","",SUMIFS('Pagos'!$D$2:$D$3001,'Pagos'!$B$2:$B$3001,A3,'Pagos'!$C$2:$C$3001,"Abono")-SUMIFS('Pagos'!$D$2:$D$3001,'Pagos'!$B$2:$B$3001,A3,'Pagos'!$C$2:$C$3001,"Devolución"))</x:f>
      </x:c>
      <x:c r="T3" s="20" t="str">
        <x:f>IF(E3="","",R3-S3)</x:f>
      </x:c>
      <x:c r="U3" s="14"/>
    </x:row>
    <x:row r="4" ht="80" customHeight="1">
      <x:c r="A4" s="15"/>
      <x:c r="B4" s="15"/>
      <x:c r="C4" s="15"/>
      <x:c r="D4" s="16"/>
      <x:c r="E4" s="14"/>
      <x:c r="F4" s="14"/>
      <x:c r="G4" s="18"/>
      <x:c r="H4" s="17"/>
      <x:c r="I4" s="17"/>
      <x:c r="J4" s="17"/>
      <x:c r="K4" s="17"/>
      <x:c r="L4" s="14"/>
      <x:c r="M4" s="16"/>
      <x:c r="N4" s="14"/>
      <x:c r="O4" s="14"/>
      <x:c r="P4" s="18"/>
      <x:c r="Q4" s="15"/>
      <x:c r="R4" s="20" t="str">
        <x:f>IF(E4="","",IF(L4="Cancelado",0,IF(G4="",1,G4)*H4+I4-J4))</x:f>
      </x:c>
      <x:c r="S4" s="20" t="str">
        <x:f>IF(E4="","",SUMIFS('Pagos'!$D$2:$D$3001,'Pagos'!$B$2:$B$3001,A4,'Pagos'!$C$2:$C$3001,"Abono")-SUMIFS('Pagos'!$D$2:$D$3001,'Pagos'!$B$2:$B$3001,A4,'Pagos'!$C$2:$C$3001,"Devolución"))</x:f>
      </x:c>
      <x:c r="T4" s="20" t="str">
        <x:f>IF(E4="","",R4-S4)</x:f>
      </x:c>
      <x:c r="U4" s="14"/>
    </x:row>
    <x:row r="5" ht="80" customHeight="1">
      <x:c r="A5" s="15"/>
      <x:c r="B5" s="15"/>
      <x:c r="C5" s="15"/>
      <x:c r="D5" s="16"/>
      <x:c r="E5" s="14"/>
      <x:c r="F5" s="14"/>
      <x:c r="G5" s="18"/>
      <x:c r="H5" s="17"/>
      <x:c r="I5" s="17"/>
      <x:c r="J5" s="17"/>
      <x:c r="K5" s="17"/>
      <x:c r="L5" s="14"/>
      <x:c r="M5" s="16"/>
      <x:c r="N5" s="14"/>
      <x:c r="O5" s="14"/>
      <x:c r="P5" s="18"/>
      <x:c r="Q5" s="15"/>
      <x:c r="R5" s="20" t="str">
        <x:f>IF(E5="","",IF(L5="Cancelado",0,IF(G5="",1,G5)*H5+I5-J5))</x:f>
      </x:c>
      <x:c r="S5" s="20" t="str">
        <x:f>IF(E5="","",SUMIFS('Pagos'!$D$2:$D$3001,'Pagos'!$B$2:$B$3001,A5,'Pagos'!$C$2:$C$3001,"Abono")-SUMIFS('Pagos'!$D$2:$D$3001,'Pagos'!$B$2:$B$3001,A5,'Pagos'!$C$2:$C$3001,"Devolución"))</x:f>
      </x:c>
      <x:c r="T5" s="20" t="str">
        <x:f>IF(E5="","",R5-S5)</x:f>
      </x:c>
      <x:c r="U5" s="14"/>
    </x:row>
    <x:row r="6" ht="80" customHeight="1">
      <x:c r="A6" s="15"/>
      <x:c r="B6" s="15"/>
      <x:c r="C6" s="15"/>
      <x:c r="D6" s="16"/>
      <x:c r="E6" s="14"/>
      <x:c r="F6" s="14"/>
      <x:c r="G6" s="18"/>
      <x:c r="H6" s="17"/>
      <x:c r="I6" s="17"/>
      <x:c r="J6" s="17"/>
      <x:c r="K6" s="17"/>
      <x:c r="L6" s="14"/>
      <x:c r="M6" s="16"/>
      <x:c r="N6" s="14"/>
      <x:c r="O6" s="14"/>
      <x:c r="P6" s="18"/>
      <x:c r="Q6" s="15"/>
      <x:c r="R6" s="20" t="str">
        <x:f>IF(E6="","",IF(L6="Cancelado",0,IF(G6="",1,G6)*H6+I6-J6))</x:f>
      </x:c>
      <x:c r="S6" s="20" t="str">
        <x:f>IF(E6="","",SUMIFS('Pagos'!$D$2:$D$3001,'Pagos'!$B$2:$B$3001,A6,'Pagos'!$C$2:$C$3001,"Abono")-SUMIFS('Pagos'!$D$2:$D$3001,'Pagos'!$B$2:$B$3001,A6,'Pagos'!$C$2:$C$3001,"Devolución"))</x:f>
      </x:c>
      <x:c r="T6" s="20" t="str">
        <x:f>IF(E6="","",R6-S6)</x:f>
      </x:c>
      <x:c r="U6" s="14"/>
    </x:row>
    <x:row r="7" ht="80" customHeight="1">
      <x:c r="A7" s="15"/>
      <x:c r="B7" s="15"/>
      <x:c r="C7" s="15"/>
      <x:c r="D7" s="16"/>
      <x:c r="E7" s="14"/>
      <x:c r="F7" s="14"/>
      <x:c r="G7" s="18"/>
      <x:c r="H7" s="17"/>
      <x:c r="I7" s="17"/>
      <x:c r="J7" s="17"/>
      <x:c r="K7" s="17"/>
      <x:c r="L7" s="14"/>
      <x:c r="M7" s="16"/>
      <x:c r="N7" s="14"/>
      <x:c r="O7" s="14"/>
      <x:c r="P7" s="18"/>
      <x:c r="Q7" s="15"/>
      <x:c r="R7" s="20" t="str">
        <x:f>IF(E7="","",IF(L7="Cancelado",0,IF(G7="",1,G7)*H7+I7-J7))</x:f>
      </x:c>
      <x:c r="S7" s="20" t="str">
        <x:f>IF(E7="","",SUMIFS('Pagos'!$D$2:$D$3001,'Pagos'!$B$2:$B$3001,A7,'Pagos'!$C$2:$C$3001,"Abono")-SUMIFS('Pagos'!$D$2:$D$3001,'Pagos'!$B$2:$B$3001,A7,'Pagos'!$C$2:$C$3001,"Devolución"))</x:f>
      </x:c>
      <x:c r="T7" s="20" t="str">
        <x:f>IF(E7="","",R7-S7)</x:f>
      </x:c>
      <x:c r="U7" s="14"/>
    </x:row>
    <x:row r="8" ht="80" customHeight="1">
      <x:c r="A8" s="15"/>
      <x:c r="B8" s="15"/>
      <x:c r="C8" s="15"/>
      <x:c r="D8" s="16"/>
      <x:c r="E8" s="14"/>
      <x:c r="F8" s="14"/>
      <x:c r="G8" s="18"/>
      <x:c r="H8" s="17"/>
      <x:c r="I8" s="17"/>
      <x:c r="J8" s="17"/>
      <x:c r="K8" s="17"/>
      <x:c r="L8" s="14"/>
      <x:c r="M8" s="16"/>
      <x:c r="N8" s="14"/>
      <x:c r="O8" s="14"/>
      <x:c r="P8" s="18"/>
      <x:c r="Q8" s="15"/>
      <x:c r="R8" s="20" t="str">
        <x:f>IF(E8="","",IF(L8="Cancelado",0,IF(G8="",1,G8)*H8+I8-J8))</x:f>
      </x:c>
      <x:c r="S8" s="20" t="str">
        <x:f>IF(E8="","",SUMIFS('Pagos'!$D$2:$D$3001,'Pagos'!$B$2:$B$3001,A8,'Pagos'!$C$2:$C$3001,"Abono")-SUMIFS('Pagos'!$D$2:$D$3001,'Pagos'!$B$2:$B$3001,A8,'Pagos'!$C$2:$C$3001,"Devolución"))</x:f>
      </x:c>
      <x:c r="T8" s="20" t="str">
        <x:f>IF(E8="","",R8-S8)</x:f>
      </x:c>
      <x:c r="U8" s="14"/>
    </x:row>
    <x:row r="9" ht="80" customHeight="1">
      <x:c r="A9" s="15"/>
      <x:c r="B9" s="15"/>
      <x:c r="C9" s="15"/>
      <x:c r="D9" s="16"/>
      <x:c r="E9" s="14"/>
      <x:c r="F9" s="14"/>
      <x:c r="G9" s="18"/>
      <x:c r="H9" s="17"/>
      <x:c r="I9" s="17"/>
      <x:c r="J9" s="17"/>
      <x:c r="K9" s="17"/>
      <x:c r="L9" s="14"/>
      <x:c r="M9" s="16"/>
      <x:c r="N9" s="14"/>
      <x:c r="O9" s="14"/>
      <x:c r="P9" s="18"/>
      <x:c r="Q9" s="15"/>
      <x:c r="R9" s="20" t="str">
        <x:f>IF(E9="","",IF(L9="Cancelado",0,IF(G9="",1,G9)*H9+I9-J9))</x:f>
      </x:c>
      <x:c r="S9" s="20" t="str">
        <x:f>IF(E9="","",SUMIFS('Pagos'!$D$2:$D$3001,'Pagos'!$B$2:$B$3001,A9,'Pagos'!$C$2:$C$3001,"Abono")-SUMIFS('Pagos'!$D$2:$D$3001,'Pagos'!$B$2:$B$3001,A9,'Pagos'!$C$2:$C$3001,"Devolución"))</x:f>
      </x:c>
      <x:c r="T9" s="20" t="str">
        <x:f>IF(E9="","",R9-S9)</x:f>
      </x:c>
      <x:c r="U9" s="14"/>
    </x:row>
    <x:row r="10" ht="80" customHeight="1">
      <x:c r="A10" s="15"/>
      <x:c r="B10" s="15"/>
      <x:c r="C10" s="15"/>
      <x:c r="D10" s="16"/>
      <x:c r="E10" s="14"/>
      <x:c r="F10" s="14"/>
      <x:c r="G10" s="18"/>
      <x:c r="H10" s="17"/>
      <x:c r="I10" s="17"/>
      <x:c r="J10" s="17"/>
      <x:c r="K10" s="17"/>
      <x:c r="L10" s="14"/>
      <x:c r="M10" s="16"/>
      <x:c r="N10" s="14"/>
      <x:c r="O10" s="14"/>
      <x:c r="P10" s="18"/>
      <x:c r="Q10" s="15"/>
      <x:c r="R10" s="20" t="str">
        <x:f>IF(E10="","",IF(L10="Cancelado",0,IF(G10="",1,G10)*H10+I10-J10))</x:f>
      </x:c>
      <x:c r="S10" s="20" t="str">
        <x:f>IF(E10="","",SUMIFS('Pagos'!$D$2:$D$3001,'Pagos'!$B$2:$B$3001,A10,'Pagos'!$C$2:$C$3001,"Abono")-SUMIFS('Pagos'!$D$2:$D$3001,'Pagos'!$B$2:$B$3001,A10,'Pagos'!$C$2:$C$3001,"Devolución"))</x:f>
      </x:c>
      <x:c r="T10" s="20" t="str">
        <x:f>IF(E10="","",R10-S10)</x:f>
      </x:c>
      <x:c r="U10" s="14"/>
    </x:row>
    <x:row r="11" ht="80" customHeight="1">
      <x:c r="A11" s="15"/>
      <x:c r="B11" s="15"/>
      <x:c r="C11" s="15"/>
      <x:c r="D11" s="16"/>
      <x:c r="E11" s="14"/>
      <x:c r="F11" s="14"/>
      <x:c r="G11" s="18"/>
      <x:c r="H11" s="17"/>
      <x:c r="I11" s="17"/>
      <x:c r="J11" s="17"/>
      <x:c r="K11" s="17"/>
      <x:c r="L11" s="14"/>
      <x:c r="M11" s="16"/>
      <x:c r="N11" s="14"/>
      <x:c r="O11" s="14"/>
      <x:c r="P11" s="18"/>
      <x:c r="Q11" s="15"/>
      <x:c r="R11" s="20" t="str">
        <x:f>IF(E11="","",IF(L11="Cancelado",0,IF(G11="",1,G11)*H11+I11-J11))</x:f>
      </x:c>
      <x:c r="S11" s="20" t="str">
        <x:f>IF(E11="","",SUMIFS('Pagos'!$D$2:$D$3001,'Pagos'!$B$2:$B$3001,A11,'Pagos'!$C$2:$C$3001,"Abono")-SUMIFS('Pagos'!$D$2:$D$3001,'Pagos'!$B$2:$B$3001,A11,'Pagos'!$C$2:$C$3001,"Devolución"))</x:f>
      </x:c>
      <x:c r="T11" s="20" t="str">
        <x:f>IF(E11="","",R11-S11)</x:f>
      </x:c>
      <x:c r="U11" s="14"/>
    </x:row>
    <x:row r="12" ht="80" customHeight="1">
      <x:c r="A12" s="15"/>
      <x:c r="B12" s="15"/>
      <x:c r="C12" s="15"/>
      <x:c r="D12" s="16"/>
      <x:c r="E12" s="14"/>
      <x:c r="F12" s="14"/>
      <x:c r="G12" s="18"/>
      <x:c r="H12" s="17"/>
      <x:c r="I12" s="17"/>
      <x:c r="J12" s="17"/>
      <x:c r="K12" s="17"/>
      <x:c r="L12" s="14"/>
      <x:c r="M12" s="16"/>
      <x:c r="N12" s="14"/>
      <x:c r="O12" s="14"/>
      <x:c r="P12" s="18"/>
      <x:c r="Q12" s="15"/>
      <x:c r="R12" s="20" t="str">
        <x:f>IF(E12="","",IF(L12="Cancelado",0,IF(G12="",1,G12)*H12+I12-J12))</x:f>
      </x:c>
      <x:c r="S12" s="20" t="str">
        <x:f>IF(E12="","",SUMIFS('Pagos'!$D$2:$D$3001,'Pagos'!$B$2:$B$3001,A12,'Pagos'!$C$2:$C$3001,"Abono")-SUMIFS('Pagos'!$D$2:$D$3001,'Pagos'!$B$2:$B$3001,A12,'Pagos'!$C$2:$C$3001,"Devolución"))</x:f>
      </x:c>
      <x:c r="T12" s="20" t="str">
        <x:f>IF(E12="","",R12-S12)</x:f>
      </x:c>
      <x:c r="U12" s="14"/>
    </x:row>
    <x:row r="13" ht="80" customHeight="1">
      <x:c r="A13" s="15"/>
      <x:c r="B13" s="15"/>
      <x:c r="C13" s="15"/>
      <x:c r="D13" s="16"/>
      <x:c r="E13" s="14"/>
      <x:c r="F13" s="14"/>
      <x:c r="G13" s="18"/>
      <x:c r="H13" s="17"/>
      <x:c r="I13" s="17"/>
      <x:c r="J13" s="17"/>
      <x:c r="K13" s="17"/>
      <x:c r="L13" s="14"/>
      <x:c r="M13" s="16"/>
      <x:c r="N13" s="14"/>
      <x:c r="O13" s="14"/>
      <x:c r="P13" s="18"/>
      <x:c r="Q13" s="15"/>
      <x:c r="R13" s="20" t="str">
        <x:f>IF(E13="","",IF(L13="Cancelado",0,IF(G13="",1,G13)*H13+I13-J13))</x:f>
      </x:c>
      <x:c r="S13" s="20" t="str">
        <x:f>IF(E13="","",SUMIFS('Pagos'!$D$2:$D$3001,'Pagos'!$B$2:$B$3001,A13,'Pagos'!$C$2:$C$3001,"Abono")-SUMIFS('Pagos'!$D$2:$D$3001,'Pagos'!$B$2:$B$3001,A13,'Pagos'!$C$2:$C$3001,"Devolución"))</x:f>
      </x:c>
      <x:c r="T13" s="20" t="str">
        <x:f>IF(E13="","",R13-S13)</x:f>
      </x:c>
      <x:c r="U13" s="14"/>
    </x:row>
    <x:row r="14" ht="80" customHeight="1">
      <x:c r="A14" s="15"/>
      <x:c r="B14" s="15"/>
      <x:c r="C14" s="15"/>
      <x:c r="D14" s="16"/>
      <x:c r="E14" s="14"/>
      <x:c r="F14" s="14"/>
      <x:c r="G14" s="18"/>
      <x:c r="H14" s="17"/>
      <x:c r="I14" s="17"/>
      <x:c r="J14" s="17"/>
      <x:c r="K14" s="17"/>
      <x:c r="L14" s="14"/>
      <x:c r="M14" s="16"/>
      <x:c r="N14" s="14"/>
      <x:c r="O14" s="14"/>
      <x:c r="P14" s="18"/>
      <x:c r="Q14" s="15"/>
      <x:c r="R14" s="20" t="str">
        <x:f>IF(E14="","",IF(L14="Cancelado",0,IF(G14="",1,G14)*H14+I14-J14))</x:f>
      </x:c>
      <x:c r="S14" s="20" t="str">
        <x:f>IF(E14="","",SUMIFS('Pagos'!$D$2:$D$3001,'Pagos'!$B$2:$B$3001,A14,'Pagos'!$C$2:$C$3001,"Abono")-SUMIFS('Pagos'!$D$2:$D$3001,'Pagos'!$B$2:$B$3001,A14,'Pagos'!$C$2:$C$3001,"Devolución"))</x:f>
      </x:c>
      <x:c r="T14" s="20" t="str">
        <x:f>IF(E14="","",R14-S14)</x:f>
      </x:c>
      <x:c r="U14" s="14"/>
    </x:row>
    <x:row r="15" ht="80" customHeight="1">
      <x:c r="A15" s="15"/>
      <x:c r="B15" s="15"/>
      <x:c r="C15" s="15"/>
      <x:c r="D15" s="16"/>
      <x:c r="E15" s="14"/>
      <x:c r="F15" s="14"/>
      <x:c r="G15" s="18"/>
      <x:c r="H15" s="17"/>
      <x:c r="I15" s="17"/>
      <x:c r="J15" s="17"/>
      <x:c r="K15" s="17"/>
      <x:c r="L15" s="14"/>
      <x:c r="M15" s="16"/>
      <x:c r="N15" s="14"/>
      <x:c r="O15" s="14"/>
      <x:c r="P15" s="18"/>
      <x:c r="Q15" s="15"/>
      <x:c r="R15" s="20" t="str">
        <x:f>IF(E15="","",IF(L15="Cancelado",0,IF(G15="",1,G15)*H15+I15-J15))</x:f>
      </x:c>
      <x:c r="S15" s="20" t="str">
        <x:f>IF(E15="","",SUMIFS('Pagos'!$D$2:$D$3001,'Pagos'!$B$2:$B$3001,A15,'Pagos'!$C$2:$C$3001,"Abono")-SUMIFS('Pagos'!$D$2:$D$3001,'Pagos'!$B$2:$B$3001,A15,'Pagos'!$C$2:$C$3001,"Devolución"))</x:f>
      </x:c>
      <x:c r="T15" s="20" t="str">
        <x:f>IF(E15="","",R15-S15)</x:f>
      </x:c>
      <x:c r="U15" s="14"/>
    </x:row>
    <x:row r="16" ht="80" customHeight="1">
      <x:c r="A16" s="15"/>
      <x:c r="B16" s="15"/>
      <x:c r="C16" s="15"/>
      <x:c r="D16" s="16"/>
      <x:c r="E16" s="14"/>
      <x:c r="F16" s="14"/>
      <x:c r="G16" s="18"/>
      <x:c r="H16" s="17"/>
      <x:c r="I16" s="17"/>
      <x:c r="J16" s="17"/>
      <x:c r="K16" s="17"/>
      <x:c r="L16" s="14"/>
      <x:c r="M16" s="16"/>
      <x:c r="N16" s="14"/>
      <x:c r="O16" s="14"/>
      <x:c r="P16" s="18"/>
      <x:c r="Q16" s="15"/>
      <x:c r="R16" s="20" t="str">
        <x:f>IF(E16="","",IF(L16="Cancelado",0,IF(G16="",1,G16)*H16+I16-J16))</x:f>
      </x:c>
      <x:c r="S16" s="20" t="str">
        <x:f>IF(E16="","",SUMIFS('Pagos'!$D$2:$D$3001,'Pagos'!$B$2:$B$3001,A16,'Pagos'!$C$2:$C$3001,"Abono")-SUMIFS('Pagos'!$D$2:$D$3001,'Pagos'!$B$2:$B$3001,A16,'Pagos'!$C$2:$C$3001,"Devolución"))</x:f>
      </x:c>
      <x:c r="T16" s="20" t="str">
        <x:f>IF(E16="","",R16-S16)</x:f>
      </x:c>
      <x:c r="U16" s="14"/>
    </x:row>
    <x:row r="17" ht="80" customHeight="1">
      <x:c r="A17" s="15"/>
      <x:c r="B17" s="15"/>
      <x:c r="C17" s="15"/>
      <x:c r="D17" s="16"/>
      <x:c r="E17" s="14"/>
      <x:c r="F17" s="14"/>
      <x:c r="G17" s="18"/>
      <x:c r="H17" s="17"/>
      <x:c r="I17" s="17"/>
      <x:c r="J17" s="17"/>
      <x:c r="K17" s="17"/>
      <x:c r="L17" s="14"/>
      <x:c r="M17" s="16"/>
      <x:c r="N17" s="14"/>
      <x:c r="O17" s="14"/>
      <x:c r="P17" s="18"/>
      <x:c r="Q17" s="15"/>
      <x:c r="R17" s="20" t="str">
        <x:f>IF(E17="","",IF(L17="Cancelado",0,IF(G17="",1,G17)*H17+I17-J17))</x:f>
      </x:c>
      <x:c r="S17" s="20" t="str">
        <x:f>IF(E17="","",SUMIFS('Pagos'!$D$2:$D$3001,'Pagos'!$B$2:$B$3001,A17,'Pagos'!$C$2:$C$3001,"Abono")-SUMIFS('Pagos'!$D$2:$D$3001,'Pagos'!$B$2:$B$3001,A17,'Pagos'!$C$2:$C$3001,"Devolución"))</x:f>
      </x:c>
      <x:c r="T17" s="20" t="str">
        <x:f>IF(E17="","",R17-S17)</x:f>
      </x:c>
      <x:c r="U17" s="14"/>
    </x:row>
    <x:row r="18" ht="80" customHeight="1">
      <x:c r="A18" s="15"/>
      <x:c r="B18" s="15"/>
      <x:c r="C18" s="15"/>
      <x:c r="D18" s="16"/>
      <x:c r="E18" s="14"/>
      <x:c r="F18" s="14"/>
      <x:c r="G18" s="18"/>
      <x:c r="H18" s="17"/>
      <x:c r="I18" s="17"/>
      <x:c r="J18" s="17"/>
      <x:c r="K18" s="17"/>
      <x:c r="L18" s="14"/>
      <x:c r="M18" s="16"/>
      <x:c r="N18" s="14"/>
      <x:c r="O18" s="14"/>
      <x:c r="P18" s="18"/>
      <x:c r="Q18" s="15"/>
      <x:c r="R18" s="20" t="str">
        <x:f>IF(E18="","",IF(L18="Cancelado",0,IF(G18="",1,G18)*H18+I18-J18))</x:f>
      </x:c>
      <x:c r="S18" s="20" t="str">
        <x:f>IF(E18="","",SUMIFS('Pagos'!$D$2:$D$3001,'Pagos'!$B$2:$B$3001,A18,'Pagos'!$C$2:$C$3001,"Abono")-SUMIFS('Pagos'!$D$2:$D$3001,'Pagos'!$B$2:$B$3001,A18,'Pagos'!$C$2:$C$3001,"Devolución"))</x:f>
      </x:c>
      <x:c r="T18" s="20" t="str">
        <x:f>IF(E18="","",R18-S18)</x:f>
      </x:c>
      <x:c r="U18" s="14"/>
    </x:row>
    <x:row r="19" ht="80" customHeight="1">
      <x:c r="A19" s="15"/>
      <x:c r="B19" s="15"/>
      <x:c r="C19" s="15"/>
      <x:c r="D19" s="16"/>
      <x:c r="E19" s="14"/>
      <x:c r="F19" s="14"/>
      <x:c r="G19" s="18"/>
      <x:c r="H19" s="17"/>
      <x:c r="I19" s="17"/>
      <x:c r="J19" s="17"/>
      <x:c r="K19" s="17"/>
      <x:c r="L19" s="14"/>
      <x:c r="M19" s="16"/>
      <x:c r="N19" s="14"/>
      <x:c r="O19" s="14"/>
      <x:c r="P19" s="18"/>
      <x:c r="Q19" s="15"/>
      <x:c r="R19" s="20" t="str">
        <x:f>IF(E19="","",IF(L19="Cancelado",0,IF(G19="",1,G19)*H19+I19-J19))</x:f>
      </x:c>
      <x:c r="S19" s="20" t="str">
        <x:f>IF(E19="","",SUMIFS('Pagos'!$D$2:$D$3001,'Pagos'!$B$2:$B$3001,A19,'Pagos'!$C$2:$C$3001,"Abono")-SUMIFS('Pagos'!$D$2:$D$3001,'Pagos'!$B$2:$B$3001,A19,'Pagos'!$C$2:$C$3001,"Devolución"))</x:f>
      </x:c>
      <x:c r="T19" s="20" t="str">
        <x:f>IF(E19="","",R19-S19)</x:f>
      </x:c>
      <x:c r="U19" s="14"/>
    </x:row>
    <x:row r="20" ht="80" customHeight="1">
      <x:c r="A20" s="15"/>
      <x:c r="B20" s="15"/>
      <x:c r="C20" s="15"/>
      <x:c r="D20" s="16"/>
      <x:c r="E20" s="14"/>
      <x:c r="F20" s="14"/>
      <x:c r="G20" s="18"/>
      <x:c r="H20" s="17"/>
      <x:c r="I20" s="17"/>
      <x:c r="J20" s="17"/>
      <x:c r="K20" s="17"/>
      <x:c r="L20" s="14"/>
      <x:c r="M20" s="16"/>
      <x:c r="N20" s="14"/>
      <x:c r="O20" s="14"/>
      <x:c r="P20" s="18"/>
      <x:c r="Q20" s="15"/>
      <x:c r="R20" s="20" t="str">
        <x:f>IF(E20="","",IF(L20="Cancelado",0,IF(G20="",1,G20)*H20+I20-J20))</x:f>
      </x:c>
      <x:c r="S20" s="20" t="str">
        <x:f>IF(E20="","",SUMIFS('Pagos'!$D$2:$D$3001,'Pagos'!$B$2:$B$3001,A20,'Pagos'!$C$2:$C$3001,"Abono")-SUMIFS('Pagos'!$D$2:$D$3001,'Pagos'!$B$2:$B$3001,A20,'Pagos'!$C$2:$C$3001,"Devolución"))</x:f>
      </x:c>
      <x:c r="T20" s="20" t="str">
        <x:f>IF(E20="","",R20-S20)</x:f>
      </x:c>
      <x:c r="U20" s="14"/>
    </x:row>
    <x:row r="21" ht="80" customHeight="1">
      <x:c r="A21" s="15"/>
      <x:c r="B21" s="15"/>
      <x:c r="C21" s="15"/>
      <x:c r="D21" s="16"/>
      <x:c r="E21" s="14"/>
      <x:c r="F21" s="14"/>
      <x:c r="G21" s="18"/>
      <x:c r="H21" s="17"/>
      <x:c r="I21" s="17"/>
      <x:c r="J21" s="17"/>
      <x:c r="K21" s="17"/>
      <x:c r="L21" s="14"/>
      <x:c r="M21" s="16"/>
      <x:c r="N21" s="14"/>
      <x:c r="O21" s="14"/>
      <x:c r="P21" s="18"/>
      <x:c r="Q21" s="15"/>
      <x:c r="R21" s="20" t="str">
        <x:f>IF(E21="","",IF(L21="Cancelado",0,IF(G21="",1,G21)*H21+I21-J21))</x:f>
      </x:c>
      <x:c r="S21" s="20" t="str">
        <x:f>IF(E21="","",SUMIFS('Pagos'!$D$2:$D$3001,'Pagos'!$B$2:$B$3001,A21,'Pagos'!$C$2:$C$3001,"Abono")-SUMIFS('Pagos'!$D$2:$D$3001,'Pagos'!$B$2:$B$3001,A21,'Pagos'!$C$2:$C$3001,"Devolución"))</x:f>
      </x:c>
      <x:c r="T21" s="20" t="str">
        <x:f>IF(E21="","",R21-S21)</x:f>
      </x:c>
      <x:c r="U21" s="14"/>
    </x:row>
    <x:row r="22" ht="80" customHeight="1">
      <x:c r="A22" s="15"/>
      <x:c r="B22" s="15"/>
      <x:c r="C22" s="15"/>
      <x:c r="D22" s="16"/>
      <x:c r="E22" s="14"/>
      <x:c r="F22" s="14"/>
      <x:c r="G22" s="18"/>
      <x:c r="H22" s="17"/>
      <x:c r="I22" s="17"/>
      <x:c r="J22" s="17"/>
      <x:c r="K22" s="17"/>
      <x:c r="L22" s="14"/>
      <x:c r="M22" s="16"/>
      <x:c r="N22" s="14"/>
      <x:c r="O22" s="14"/>
      <x:c r="P22" s="18"/>
      <x:c r="Q22" s="15"/>
      <x:c r="R22" s="20" t="str">
        <x:f>IF(E22="","",IF(L22="Cancelado",0,IF(G22="",1,G22)*H22+I22-J22))</x:f>
      </x:c>
      <x:c r="S22" s="20" t="str">
        <x:f>IF(E22="","",SUMIFS('Pagos'!$D$2:$D$3001,'Pagos'!$B$2:$B$3001,A22,'Pagos'!$C$2:$C$3001,"Abono")-SUMIFS('Pagos'!$D$2:$D$3001,'Pagos'!$B$2:$B$3001,A22,'Pagos'!$C$2:$C$3001,"Devolución"))</x:f>
      </x:c>
      <x:c r="T22" s="20" t="str">
        <x:f>IF(E22="","",R22-S22)</x:f>
      </x:c>
      <x:c r="U22" s="14"/>
    </x:row>
    <x:row r="23" ht="80" customHeight="1">
      <x:c r="A23" s="15"/>
      <x:c r="B23" s="15"/>
      <x:c r="C23" s="15"/>
      <x:c r="D23" s="16"/>
      <x:c r="E23" s="14"/>
      <x:c r="F23" s="14"/>
      <x:c r="G23" s="18"/>
      <x:c r="H23" s="17"/>
      <x:c r="I23" s="17"/>
      <x:c r="J23" s="17"/>
      <x:c r="K23" s="17"/>
      <x:c r="L23" s="14"/>
      <x:c r="M23" s="16"/>
      <x:c r="N23" s="14"/>
      <x:c r="O23" s="14"/>
      <x:c r="P23" s="18"/>
      <x:c r="Q23" s="15"/>
      <x:c r="R23" s="20" t="str">
        <x:f>IF(E23="","",IF(L23="Cancelado",0,IF(G23="",1,G23)*H23+I23-J23))</x:f>
      </x:c>
      <x:c r="S23" s="20" t="str">
        <x:f>IF(E23="","",SUMIFS('Pagos'!$D$2:$D$3001,'Pagos'!$B$2:$B$3001,A23,'Pagos'!$C$2:$C$3001,"Abono")-SUMIFS('Pagos'!$D$2:$D$3001,'Pagos'!$B$2:$B$3001,A23,'Pagos'!$C$2:$C$3001,"Devolución"))</x:f>
      </x:c>
      <x:c r="T23" s="20" t="str">
        <x:f>IF(E23="","",R23-S23)</x:f>
      </x:c>
      <x:c r="U23" s="14"/>
    </x:row>
    <x:row r="24" ht="80" customHeight="1">
      <x:c r="A24" s="15"/>
      <x:c r="B24" s="15"/>
      <x:c r="C24" s="15"/>
      <x:c r="D24" s="16"/>
      <x:c r="E24" s="14"/>
      <x:c r="F24" s="14"/>
      <x:c r="G24" s="18"/>
      <x:c r="H24" s="17"/>
      <x:c r="I24" s="17"/>
      <x:c r="J24" s="17"/>
      <x:c r="K24" s="17"/>
      <x:c r="L24" s="14"/>
      <x:c r="M24" s="16"/>
      <x:c r="N24" s="14"/>
      <x:c r="O24" s="14"/>
      <x:c r="P24" s="18"/>
      <x:c r="Q24" s="15"/>
      <x:c r="R24" s="20" t="str">
        <x:f>IF(E24="","",IF(L24="Cancelado",0,IF(G24="",1,G24)*H24+I24-J24))</x:f>
      </x:c>
      <x:c r="S24" s="20" t="str">
        <x:f>IF(E24="","",SUMIFS('Pagos'!$D$2:$D$3001,'Pagos'!$B$2:$B$3001,A24,'Pagos'!$C$2:$C$3001,"Abono")-SUMIFS('Pagos'!$D$2:$D$3001,'Pagos'!$B$2:$B$3001,A24,'Pagos'!$C$2:$C$3001,"Devolución"))</x:f>
      </x:c>
      <x:c r="T24" s="20" t="str">
        <x:f>IF(E24="","",R24-S24)</x:f>
      </x:c>
      <x:c r="U24" s="14"/>
    </x:row>
    <x:row r="25" ht="80" customHeight="1">
      <x:c r="A25" s="15"/>
      <x:c r="B25" s="15"/>
      <x:c r="C25" s="15"/>
      <x:c r="D25" s="16"/>
      <x:c r="E25" s="14"/>
      <x:c r="F25" s="14"/>
      <x:c r="G25" s="18"/>
      <x:c r="H25" s="17"/>
      <x:c r="I25" s="17"/>
      <x:c r="J25" s="17"/>
      <x:c r="K25" s="17"/>
      <x:c r="L25" s="14"/>
      <x:c r="M25" s="16"/>
      <x:c r="N25" s="14"/>
      <x:c r="O25" s="14"/>
      <x:c r="P25" s="18"/>
      <x:c r="Q25" s="15"/>
      <x:c r="R25" s="20" t="str">
        <x:f>IF(E25="","",IF(L25="Cancelado",0,IF(G25="",1,G25)*H25+I25-J25))</x:f>
      </x:c>
      <x:c r="S25" s="20" t="str">
        <x:f>IF(E25="","",SUMIFS('Pagos'!$D$2:$D$3001,'Pagos'!$B$2:$B$3001,A25,'Pagos'!$C$2:$C$3001,"Abono")-SUMIFS('Pagos'!$D$2:$D$3001,'Pagos'!$B$2:$B$3001,A25,'Pagos'!$C$2:$C$3001,"Devolución"))</x:f>
      </x:c>
      <x:c r="T25" s="20" t="str">
        <x:f>IF(E25="","",R25-S25)</x:f>
      </x:c>
      <x:c r="U25" s="14"/>
    </x:row>
    <x:row r="26" ht="80" customHeight="1">
      <x:c r="A26" s="15"/>
      <x:c r="B26" s="15"/>
      <x:c r="C26" s="15"/>
      <x:c r="D26" s="16"/>
      <x:c r="E26" s="14"/>
      <x:c r="F26" s="14"/>
      <x:c r="G26" s="18"/>
      <x:c r="H26" s="17"/>
      <x:c r="I26" s="17"/>
      <x:c r="J26" s="17"/>
      <x:c r="K26" s="17"/>
      <x:c r="L26" s="14"/>
      <x:c r="M26" s="16"/>
      <x:c r="N26" s="14"/>
      <x:c r="O26" s="14"/>
      <x:c r="P26" s="18"/>
      <x:c r="Q26" s="15"/>
      <x:c r="R26" s="20" t="str">
        <x:f>IF(E26="","",IF(L26="Cancelado",0,IF(G26="",1,G26)*H26+I26-J26))</x:f>
      </x:c>
      <x:c r="S26" s="20" t="str">
        <x:f>IF(E26="","",SUMIFS('Pagos'!$D$2:$D$3001,'Pagos'!$B$2:$B$3001,A26,'Pagos'!$C$2:$C$3001,"Abono")-SUMIFS('Pagos'!$D$2:$D$3001,'Pagos'!$B$2:$B$3001,A26,'Pagos'!$C$2:$C$3001,"Devolución"))</x:f>
      </x:c>
      <x:c r="T26" s="20" t="str">
        <x:f>IF(E26="","",R26-S26)</x:f>
      </x:c>
      <x:c r="U26" s="14"/>
    </x:row>
    <x:row r="27" ht="80" customHeight="1">
      <x:c r="A27" s="15"/>
      <x:c r="B27" s="15"/>
      <x:c r="C27" s="15"/>
      <x:c r="D27" s="16"/>
      <x:c r="E27" s="14"/>
      <x:c r="F27" s="14"/>
      <x:c r="G27" s="18"/>
      <x:c r="H27" s="17"/>
      <x:c r="I27" s="17"/>
      <x:c r="J27" s="17"/>
      <x:c r="K27" s="17"/>
      <x:c r="L27" s="14"/>
      <x:c r="M27" s="16"/>
      <x:c r="N27" s="14"/>
      <x:c r="O27" s="14"/>
      <x:c r="P27" s="18"/>
      <x:c r="Q27" s="15"/>
      <x:c r="R27" s="20" t="str">
        <x:f>IF(E27="","",IF(L27="Cancelado",0,IF(G27="",1,G27)*H27+I27-J27))</x:f>
      </x:c>
      <x:c r="S27" s="20" t="str">
        <x:f>IF(E27="","",SUMIFS('Pagos'!$D$2:$D$3001,'Pagos'!$B$2:$B$3001,A27,'Pagos'!$C$2:$C$3001,"Abono")-SUMIFS('Pagos'!$D$2:$D$3001,'Pagos'!$B$2:$B$3001,A27,'Pagos'!$C$2:$C$3001,"Devolución"))</x:f>
      </x:c>
      <x:c r="T27" s="20" t="str">
        <x:f>IF(E27="","",R27-S27)</x:f>
      </x:c>
      <x:c r="U27" s="14"/>
    </x:row>
    <x:row r="28" ht="80" customHeight="1">
      <x:c r="A28" s="15"/>
      <x:c r="B28" s="15"/>
      <x:c r="C28" s="15"/>
      <x:c r="D28" s="16"/>
      <x:c r="E28" s="14"/>
      <x:c r="F28" s="14"/>
      <x:c r="G28" s="18"/>
      <x:c r="H28" s="17"/>
      <x:c r="I28" s="17"/>
      <x:c r="J28" s="17"/>
      <x:c r="K28" s="17"/>
      <x:c r="L28" s="14"/>
      <x:c r="M28" s="16"/>
      <x:c r="N28" s="14"/>
      <x:c r="O28" s="14"/>
      <x:c r="P28" s="18"/>
      <x:c r="Q28" s="15"/>
      <x:c r="R28" s="20" t="str">
        <x:f>IF(E28="","",IF(L28="Cancelado",0,IF(G28="",1,G28)*H28+I28-J28))</x:f>
      </x:c>
      <x:c r="S28" s="20" t="str">
        <x:f>IF(E28="","",SUMIFS('Pagos'!$D$2:$D$3001,'Pagos'!$B$2:$B$3001,A28,'Pagos'!$C$2:$C$3001,"Abono")-SUMIFS('Pagos'!$D$2:$D$3001,'Pagos'!$B$2:$B$3001,A28,'Pagos'!$C$2:$C$3001,"Devolución"))</x:f>
      </x:c>
      <x:c r="T28" s="20" t="str">
        <x:f>IF(E28="","",R28-S28)</x:f>
      </x:c>
      <x:c r="U28" s="14"/>
    </x:row>
    <x:row r="29" ht="80" customHeight="1">
      <x:c r="A29" s="15"/>
      <x:c r="B29" s="15"/>
      <x:c r="C29" s="15"/>
      <x:c r="D29" s="16"/>
      <x:c r="E29" s="14"/>
      <x:c r="F29" s="14"/>
      <x:c r="G29" s="18"/>
      <x:c r="H29" s="17"/>
      <x:c r="I29" s="17"/>
      <x:c r="J29" s="17"/>
      <x:c r="K29" s="17"/>
      <x:c r="L29" s="14"/>
      <x:c r="M29" s="16"/>
      <x:c r="N29" s="14"/>
      <x:c r="O29" s="14"/>
      <x:c r="P29" s="18"/>
      <x:c r="Q29" s="15"/>
      <x:c r="R29" s="20" t="str">
        <x:f>IF(E29="","",IF(L29="Cancelado",0,IF(G29="",1,G29)*H29+I29-J29))</x:f>
      </x:c>
      <x:c r="S29" s="20" t="str">
        <x:f>IF(E29="","",SUMIFS('Pagos'!$D$2:$D$3001,'Pagos'!$B$2:$B$3001,A29,'Pagos'!$C$2:$C$3001,"Abono")-SUMIFS('Pagos'!$D$2:$D$3001,'Pagos'!$B$2:$B$3001,A29,'Pagos'!$C$2:$C$3001,"Devolución"))</x:f>
      </x:c>
      <x:c r="T29" s="20" t="str">
        <x:f>IF(E29="","",R29-S29)</x:f>
      </x:c>
      <x:c r="U29" s="14"/>
    </x:row>
    <x:row r="30" ht="80" customHeight="1">
      <x:c r="A30" s="15"/>
      <x:c r="B30" s="15"/>
      <x:c r="C30" s="15"/>
      <x:c r="D30" s="16"/>
      <x:c r="E30" s="14"/>
      <x:c r="F30" s="14"/>
      <x:c r="G30" s="18"/>
      <x:c r="H30" s="17"/>
      <x:c r="I30" s="17"/>
      <x:c r="J30" s="17"/>
      <x:c r="K30" s="17"/>
      <x:c r="L30" s="14"/>
      <x:c r="M30" s="16"/>
      <x:c r="N30" s="14"/>
      <x:c r="O30" s="14"/>
      <x:c r="P30" s="18"/>
      <x:c r="Q30" s="15"/>
      <x:c r="R30" s="20" t="str">
        <x:f>IF(E30="","",IF(L30="Cancelado",0,IF(G30="",1,G30)*H30+I30-J30))</x:f>
      </x:c>
      <x:c r="S30" s="20" t="str">
        <x:f>IF(E30="","",SUMIFS('Pagos'!$D$2:$D$3001,'Pagos'!$B$2:$B$3001,A30,'Pagos'!$C$2:$C$3001,"Abono")-SUMIFS('Pagos'!$D$2:$D$3001,'Pagos'!$B$2:$B$3001,A30,'Pagos'!$C$2:$C$3001,"Devolución"))</x:f>
      </x:c>
      <x:c r="T30" s="20" t="str">
        <x:f>IF(E30="","",R30-S30)</x:f>
      </x:c>
      <x:c r="U30" s="14"/>
    </x:row>
    <x:row r="31" ht="80" customHeight="1">
      <x:c r="A31" s="15"/>
      <x:c r="B31" s="15"/>
      <x:c r="C31" s="15"/>
      <x:c r="D31" s="16"/>
      <x:c r="E31" s="14"/>
      <x:c r="F31" s="14"/>
      <x:c r="G31" s="18"/>
      <x:c r="H31" s="17"/>
      <x:c r="I31" s="17"/>
      <x:c r="J31" s="17"/>
      <x:c r="K31" s="17"/>
      <x:c r="L31" s="14"/>
      <x:c r="M31" s="16"/>
      <x:c r="N31" s="14"/>
      <x:c r="O31" s="14"/>
      <x:c r="P31" s="18"/>
      <x:c r="Q31" s="15"/>
      <x:c r="R31" s="20" t="str">
        <x:f>IF(E31="","",IF(L31="Cancelado",0,IF(G31="",1,G31)*H31+I31-J31))</x:f>
      </x:c>
      <x:c r="S31" s="20" t="str">
        <x:f>IF(E31="","",SUMIFS('Pagos'!$D$2:$D$3001,'Pagos'!$B$2:$B$3001,A31,'Pagos'!$C$2:$C$3001,"Abono")-SUMIFS('Pagos'!$D$2:$D$3001,'Pagos'!$B$2:$B$3001,A31,'Pagos'!$C$2:$C$3001,"Devolución"))</x:f>
      </x:c>
      <x:c r="T31" s="20" t="str">
        <x:f>IF(E31="","",R31-S31)</x:f>
      </x:c>
      <x:c r="U31" s="14"/>
    </x:row>
    <x:row r="32" ht="80" customHeight="1">
      <x:c r="A32" s="15"/>
      <x:c r="B32" s="15"/>
      <x:c r="C32" s="15"/>
      <x:c r="D32" s="16"/>
      <x:c r="E32" s="14"/>
      <x:c r="F32" s="14"/>
      <x:c r="G32" s="18"/>
      <x:c r="H32" s="17"/>
      <x:c r="I32" s="17"/>
      <x:c r="J32" s="17"/>
      <x:c r="K32" s="17"/>
      <x:c r="L32" s="14"/>
      <x:c r="M32" s="16"/>
      <x:c r="N32" s="14"/>
      <x:c r="O32" s="14"/>
      <x:c r="P32" s="18"/>
      <x:c r="Q32" s="15"/>
      <x:c r="R32" s="20" t="str">
        <x:f>IF(E32="","",IF(L32="Cancelado",0,IF(G32="",1,G32)*H32+I32-J32))</x:f>
      </x:c>
      <x:c r="S32" s="20" t="str">
        <x:f>IF(E32="","",SUMIFS('Pagos'!$D$2:$D$3001,'Pagos'!$B$2:$B$3001,A32,'Pagos'!$C$2:$C$3001,"Abono")-SUMIFS('Pagos'!$D$2:$D$3001,'Pagos'!$B$2:$B$3001,A32,'Pagos'!$C$2:$C$3001,"Devolución"))</x:f>
      </x:c>
      <x:c r="T32" s="20" t="str">
        <x:f>IF(E32="","",R32-S32)</x:f>
      </x:c>
      <x:c r="U32" s="14"/>
    </x:row>
    <x:row r="33" ht="80" customHeight="1">
      <x:c r="A33" s="15"/>
      <x:c r="B33" s="15"/>
      <x:c r="C33" s="15"/>
      <x:c r="D33" s="16"/>
      <x:c r="E33" s="14"/>
      <x:c r="F33" s="14"/>
      <x:c r="G33" s="18"/>
      <x:c r="H33" s="17"/>
      <x:c r="I33" s="17"/>
      <x:c r="J33" s="17"/>
      <x:c r="K33" s="17"/>
      <x:c r="L33" s="14"/>
      <x:c r="M33" s="16"/>
      <x:c r="N33" s="14"/>
      <x:c r="O33" s="14"/>
      <x:c r="P33" s="18"/>
      <x:c r="Q33" s="15"/>
      <x:c r="R33" s="20" t="str">
        <x:f>IF(E33="","",IF(L33="Cancelado",0,IF(G33="",1,G33)*H33+I33-J33))</x:f>
      </x:c>
      <x:c r="S33" s="20" t="str">
        <x:f>IF(E33="","",SUMIFS('Pagos'!$D$2:$D$3001,'Pagos'!$B$2:$B$3001,A33,'Pagos'!$C$2:$C$3001,"Abono")-SUMIFS('Pagos'!$D$2:$D$3001,'Pagos'!$B$2:$B$3001,A33,'Pagos'!$C$2:$C$3001,"Devolución"))</x:f>
      </x:c>
      <x:c r="T33" s="20" t="str">
        <x:f>IF(E33="","",R33-S33)</x:f>
      </x:c>
      <x:c r="U33" s="14"/>
    </x:row>
    <x:row r="34" ht="80" customHeight="1">
      <x:c r="A34" s="15"/>
      <x:c r="B34" s="15"/>
      <x:c r="C34" s="15"/>
      <x:c r="D34" s="16"/>
      <x:c r="E34" s="14"/>
      <x:c r="F34" s="14"/>
      <x:c r="G34" s="18"/>
      <x:c r="H34" s="17"/>
      <x:c r="I34" s="17"/>
      <x:c r="J34" s="17"/>
      <x:c r="K34" s="17"/>
      <x:c r="L34" s="14"/>
      <x:c r="M34" s="16"/>
      <x:c r="N34" s="14"/>
      <x:c r="O34" s="14"/>
      <x:c r="P34" s="18"/>
      <x:c r="Q34" s="15"/>
      <x:c r="R34" s="20" t="str">
        <x:f>IF(E34="","",IF(L34="Cancelado",0,IF(G34="",1,G34)*H34+I34-J34))</x:f>
      </x:c>
      <x:c r="S34" s="20" t="str">
        <x:f>IF(E34="","",SUMIFS('Pagos'!$D$2:$D$3001,'Pagos'!$B$2:$B$3001,A34,'Pagos'!$C$2:$C$3001,"Abono")-SUMIFS('Pagos'!$D$2:$D$3001,'Pagos'!$B$2:$B$3001,A34,'Pagos'!$C$2:$C$3001,"Devolución"))</x:f>
      </x:c>
      <x:c r="T34" s="20" t="str">
        <x:f>IF(E34="","",R34-S34)</x:f>
      </x:c>
      <x:c r="U34" s="14"/>
    </x:row>
    <x:row r="35" ht="80" customHeight="1">
      <x:c r="A35" s="15"/>
      <x:c r="B35" s="15"/>
      <x:c r="C35" s="15"/>
      <x:c r="D35" s="16"/>
      <x:c r="E35" s="14"/>
      <x:c r="F35" s="14"/>
      <x:c r="G35" s="18"/>
      <x:c r="H35" s="17"/>
      <x:c r="I35" s="17"/>
      <x:c r="J35" s="17"/>
      <x:c r="K35" s="17"/>
      <x:c r="L35" s="14"/>
      <x:c r="M35" s="16"/>
      <x:c r="N35" s="14"/>
      <x:c r="O35" s="14"/>
      <x:c r="P35" s="18"/>
      <x:c r="Q35" s="15"/>
      <x:c r="R35" s="20" t="str">
        <x:f>IF(E35="","",IF(L35="Cancelado",0,IF(G35="",1,G35)*H35+I35-J35))</x:f>
      </x:c>
      <x:c r="S35" s="20" t="str">
        <x:f>IF(E35="","",SUMIFS('Pagos'!$D$2:$D$3001,'Pagos'!$B$2:$B$3001,A35,'Pagos'!$C$2:$C$3001,"Abono")-SUMIFS('Pagos'!$D$2:$D$3001,'Pagos'!$B$2:$B$3001,A35,'Pagos'!$C$2:$C$3001,"Devolución"))</x:f>
      </x:c>
      <x:c r="T35" s="20" t="str">
        <x:f>IF(E35="","",R35-S35)</x:f>
      </x:c>
      <x:c r="U35" s="14"/>
    </x:row>
    <x:row r="36" ht="80" customHeight="1">
      <x:c r="A36" s="15"/>
      <x:c r="B36" s="15"/>
      <x:c r="C36" s="15"/>
      <x:c r="D36" s="16"/>
      <x:c r="E36" s="14"/>
      <x:c r="F36" s="14"/>
      <x:c r="G36" s="18"/>
      <x:c r="H36" s="17"/>
      <x:c r="I36" s="17"/>
      <x:c r="J36" s="17"/>
      <x:c r="K36" s="17"/>
      <x:c r="L36" s="14"/>
      <x:c r="M36" s="16"/>
      <x:c r="N36" s="14"/>
      <x:c r="O36" s="14"/>
      <x:c r="P36" s="18"/>
      <x:c r="Q36" s="15"/>
      <x:c r="R36" s="20" t="str">
        <x:f>IF(E36="","",IF(L36="Cancelado",0,IF(G36="",1,G36)*H36+I36-J36))</x:f>
      </x:c>
      <x:c r="S36" s="20" t="str">
        <x:f>IF(E36="","",SUMIFS('Pagos'!$D$2:$D$3001,'Pagos'!$B$2:$B$3001,A36,'Pagos'!$C$2:$C$3001,"Abono")-SUMIFS('Pagos'!$D$2:$D$3001,'Pagos'!$B$2:$B$3001,A36,'Pagos'!$C$2:$C$3001,"Devolución"))</x:f>
      </x:c>
      <x:c r="T36" s="20" t="str">
        <x:f>IF(E36="","",R36-S36)</x:f>
      </x:c>
      <x:c r="U36" s="14"/>
    </x:row>
    <x:row r="37" ht="80" customHeight="1">
      <x:c r="A37" s="15"/>
      <x:c r="B37" s="15"/>
      <x:c r="C37" s="15"/>
      <x:c r="D37" s="16"/>
      <x:c r="E37" s="14"/>
      <x:c r="F37" s="14"/>
      <x:c r="G37" s="18"/>
      <x:c r="H37" s="17"/>
      <x:c r="I37" s="17"/>
      <x:c r="J37" s="17"/>
      <x:c r="K37" s="17"/>
      <x:c r="L37" s="14"/>
      <x:c r="M37" s="16"/>
      <x:c r="N37" s="14"/>
      <x:c r="O37" s="14"/>
      <x:c r="P37" s="18"/>
      <x:c r="Q37" s="15"/>
      <x:c r="R37" s="20" t="str">
        <x:f>IF(E37="","",IF(L37="Cancelado",0,IF(G37="",1,G37)*H37+I37-J37))</x:f>
      </x:c>
      <x:c r="S37" s="20" t="str">
        <x:f>IF(E37="","",SUMIFS('Pagos'!$D$2:$D$3001,'Pagos'!$B$2:$B$3001,A37,'Pagos'!$C$2:$C$3001,"Abono")-SUMIFS('Pagos'!$D$2:$D$3001,'Pagos'!$B$2:$B$3001,A37,'Pagos'!$C$2:$C$3001,"Devolución"))</x:f>
      </x:c>
      <x:c r="T37" s="20" t="str">
        <x:f>IF(E37="","",R37-S37)</x:f>
      </x:c>
      <x:c r="U37" s="14"/>
    </x:row>
    <x:row r="38" ht="80" customHeight="1">
      <x:c r="A38" s="15"/>
      <x:c r="B38" s="15"/>
      <x:c r="C38" s="15"/>
      <x:c r="D38" s="16"/>
      <x:c r="E38" s="14"/>
      <x:c r="F38" s="14"/>
      <x:c r="G38" s="18"/>
      <x:c r="H38" s="17"/>
      <x:c r="I38" s="17"/>
      <x:c r="J38" s="17"/>
      <x:c r="K38" s="17"/>
      <x:c r="L38" s="14"/>
      <x:c r="M38" s="16"/>
      <x:c r="N38" s="14"/>
      <x:c r="O38" s="14"/>
      <x:c r="P38" s="18"/>
      <x:c r="Q38" s="15"/>
      <x:c r="R38" s="20" t="str">
        <x:f>IF(E38="","",IF(L38="Cancelado",0,IF(G38="",1,G38)*H38+I38-J38))</x:f>
      </x:c>
      <x:c r="S38" s="20" t="str">
        <x:f>IF(E38="","",SUMIFS('Pagos'!$D$2:$D$3001,'Pagos'!$B$2:$B$3001,A38,'Pagos'!$C$2:$C$3001,"Abono")-SUMIFS('Pagos'!$D$2:$D$3001,'Pagos'!$B$2:$B$3001,A38,'Pagos'!$C$2:$C$3001,"Devolución"))</x:f>
      </x:c>
      <x:c r="T38" s="20" t="str">
        <x:f>IF(E38="","",R38-S38)</x:f>
      </x:c>
      <x:c r="U38" s="14"/>
    </x:row>
    <x:row r="39" ht="80" customHeight="1">
      <x:c r="A39" s="15"/>
      <x:c r="B39" s="15"/>
      <x:c r="C39" s="15"/>
      <x:c r="D39" s="16"/>
      <x:c r="E39" s="14"/>
      <x:c r="F39" s="14"/>
      <x:c r="G39" s="18"/>
      <x:c r="H39" s="17"/>
      <x:c r="I39" s="17"/>
      <x:c r="J39" s="17"/>
      <x:c r="K39" s="17"/>
      <x:c r="L39" s="14"/>
      <x:c r="M39" s="16"/>
      <x:c r="N39" s="14"/>
      <x:c r="O39" s="14"/>
      <x:c r="P39" s="18"/>
      <x:c r="Q39" s="15"/>
      <x:c r="R39" s="20" t="str">
        <x:f>IF(E39="","",IF(L39="Cancelado",0,IF(G39="",1,G39)*H39+I39-J39))</x:f>
      </x:c>
      <x:c r="S39" s="20" t="str">
        <x:f>IF(E39="","",SUMIFS('Pagos'!$D$2:$D$3001,'Pagos'!$B$2:$B$3001,A39,'Pagos'!$C$2:$C$3001,"Abono")-SUMIFS('Pagos'!$D$2:$D$3001,'Pagos'!$B$2:$B$3001,A39,'Pagos'!$C$2:$C$3001,"Devolución"))</x:f>
      </x:c>
      <x:c r="T39" s="20" t="str">
        <x:f>IF(E39="","",R39-S39)</x:f>
      </x:c>
      <x:c r="U39" s="14"/>
    </x:row>
    <x:row r="40" ht="80" customHeight="1">
      <x:c r="A40" s="15"/>
      <x:c r="B40" s="15"/>
      <x:c r="C40" s="15"/>
      <x:c r="D40" s="16"/>
      <x:c r="E40" s="14"/>
      <x:c r="F40" s="14"/>
      <x:c r="G40" s="18"/>
      <x:c r="H40" s="17"/>
      <x:c r="I40" s="17"/>
      <x:c r="J40" s="17"/>
      <x:c r="K40" s="17"/>
      <x:c r="L40" s="14"/>
      <x:c r="M40" s="16"/>
      <x:c r="N40" s="14"/>
      <x:c r="O40" s="14"/>
      <x:c r="P40" s="18"/>
      <x:c r="Q40" s="15"/>
      <x:c r="R40" s="20" t="str">
        <x:f>IF(E40="","",IF(L40="Cancelado",0,IF(G40="",1,G40)*H40+I40-J40))</x:f>
      </x:c>
      <x:c r="S40" s="20" t="str">
        <x:f>IF(E40="","",SUMIFS('Pagos'!$D$2:$D$3001,'Pagos'!$B$2:$B$3001,A40,'Pagos'!$C$2:$C$3001,"Abono")-SUMIFS('Pagos'!$D$2:$D$3001,'Pagos'!$B$2:$B$3001,A40,'Pagos'!$C$2:$C$3001,"Devolución"))</x:f>
      </x:c>
      <x:c r="T40" s="20" t="str">
        <x:f>IF(E40="","",R40-S40)</x:f>
      </x:c>
      <x:c r="U40" s="14"/>
    </x:row>
    <x:row r="41" ht="80" customHeight="1">
      <x:c r="A41" s="15"/>
      <x:c r="B41" s="15"/>
      <x:c r="C41" s="15"/>
      <x:c r="D41" s="16"/>
      <x:c r="E41" s="14"/>
      <x:c r="F41" s="14"/>
      <x:c r="G41" s="18"/>
      <x:c r="H41" s="17"/>
      <x:c r="I41" s="17"/>
      <x:c r="J41" s="17"/>
      <x:c r="K41" s="17"/>
      <x:c r="L41" s="14"/>
      <x:c r="M41" s="16"/>
      <x:c r="N41" s="14"/>
      <x:c r="O41" s="14"/>
      <x:c r="P41" s="18"/>
      <x:c r="Q41" s="15"/>
      <x:c r="R41" s="20" t="str">
        <x:f>IF(E41="","",IF(L41="Cancelado",0,IF(G41="",1,G41)*H41+I41-J41))</x:f>
      </x:c>
      <x:c r="S41" s="20" t="str">
        <x:f>IF(E41="","",SUMIFS('Pagos'!$D$2:$D$3001,'Pagos'!$B$2:$B$3001,A41,'Pagos'!$C$2:$C$3001,"Abono")-SUMIFS('Pagos'!$D$2:$D$3001,'Pagos'!$B$2:$B$3001,A41,'Pagos'!$C$2:$C$3001,"Devolución"))</x:f>
      </x:c>
      <x:c r="T41" s="20" t="str">
        <x:f>IF(E41="","",R41-S41)</x:f>
      </x:c>
      <x:c r="U41" s="14"/>
    </x:row>
    <x:row r="42" ht="80" customHeight="1">
      <x:c r="A42" s="15"/>
      <x:c r="B42" s="15"/>
      <x:c r="C42" s="15"/>
      <x:c r="D42" s="16"/>
      <x:c r="E42" s="14"/>
      <x:c r="F42" s="14"/>
      <x:c r="G42" s="18"/>
      <x:c r="H42" s="17"/>
      <x:c r="I42" s="17"/>
      <x:c r="J42" s="17"/>
      <x:c r="K42" s="17"/>
      <x:c r="L42" s="14"/>
      <x:c r="M42" s="16"/>
      <x:c r="N42" s="14"/>
      <x:c r="O42" s="14"/>
      <x:c r="P42" s="18"/>
      <x:c r="Q42" s="15"/>
      <x:c r="R42" s="20" t="str">
        <x:f>IF(E42="","",IF(L42="Cancelado",0,IF(G42="",1,G42)*H42+I42-J42))</x:f>
      </x:c>
      <x:c r="S42" s="20" t="str">
        <x:f>IF(E42="","",SUMIFS('Pagos'!$D$2:$D$3001,'Pagos'!$B$2:$B$3001,A42,'Pagos'!$C$2:$C$3001,"Abono")-SUMIFS('Pagos'!$D$2:$D$3001,'Pagos'!$B$2:$B$3001,A42,'Pagos'!$C$2:$C$3001,"Devolución"))</x:f>
      </x:c>
      <x:c r="T42" s="20" t="str">
        <x:f>IF(E42="","",R42-S42)</x:f>
      </x:c>
      <x:c r="U42" s="14"/>
    </x:row>
    <x:row r="43" ht="80" customHeight="1">
      <x:c r="A43" s="15"/>
      <x:c r="B43" s="15"/>
      <x:c r="C43" s="15"/>
      <x:c r="D43" s="16"/>
      <x:c r="E43" s="14"/>
      <x:c r="F43" s="14"/>
      <x:c r="G43" s="18"/>
      <x:c r="H43" s="17"/>
      <x:c r="I43" s="17"/>
      <x:c r="J43" s="17"/>
      <x:c r="K43" s="17"/>
      <x:c r="L43" s="14"/>
      <x:c r="M43" s="16"/>
      <x:c r="N43" s="14"/>
      <x:c r="O43" s="14"/>
      <x:c r="P43" s="18"/>
      <x:c r="Q43" s="15"/>
      <x:c r="R43" s="20" t="str">
        <x:f>IF(E43="","",IF(L43="Cancelado",0,IF(G43="",1,G43)*H43+I43-J43))</x:f>
      </x:c>
      <x:c r="S43" s="20" t="str">
        <x:f>IF(E43="","",SUMIFS('Pagos'!$D$2:$D$3001,'Pagos'!$B$2:$B$3001,A43,'Pagos'!$C$2:$C$3001,"Abono")-SUMIFS('Pagos'!$D$2:$D$3001,'Pagos'!$B$2:$B$3001,A43,'Pagos'!$C$2:$C$3001,"Devolución"))</x:f>
      </x:c>
      <x:c r="T43" s="20" t="str">
        <x:f>IF(E43="","",R43-S43)</x:f>
      </x:c>
      <x:c r="U43" s="14"/>
    </x:row>
    <x:row r="44" ht="80" customHeight="1">
      <x:c r="A44" s="15"/>
      <x:c r="B44" s="15"/>
      <x:c r="C44" s="15"/>
      <x:c r="D44" s="16"/>
      <x:c r="E44" s="14"/>
      <x:c r="F44" s="14"/>
      <x:c r="G44" s="18"/>
      <x:c r="H44" s="17"/>
      <x:c r="I44" s="17"/>
      <x:c r="J44" s="17"/>
      <x:c r="K44" s="17"/>
      <x:c r="L44" s="14"/>
      <x:c r="M44" s="16"/>
      <x:c r="N44" s="14"/>
      <x:c r="O44" s="14"/>
      <x:c r="P44" s="18"/>
      <x:c r="Q44" s="15"/>
      <x:c r="R44" s="20" t="str">
        <x:f>IF(E44="","",IF(L44="Cancelado",0,IF(G44="",1,G44)*H44+I44-J44))</x:f>
      </x:c>
      <x:c r="S44" s="20" t="str">
        <x:f>IF(E44="","",SUMIFS('Pagos'!$D$2:$D$3001,'Pagos'!$B$2:$B$3001,A44,'Pagos'!$C$2:$C$3001,"Abono")-SUMIFS('Pagos'!$D$2:$D$3001,'Pagos'!$B$2:$B$3001,A44,'Pagos'!$C$2:$C$3001,"Devolución"))</x:f>
      </x:c>
      <x:c r="T44" s="20" t="str">
        <x:f>IF(E44="","",R44-S44)</x:f>
      </x:c>
      <x:c r="U44" s="14"/>
    </x:row>
    <x:row r="45" ht="80" customHeight="1">
      <x:c r="A45" s="15"/>
      <x:c r="B45" s="15"/>
      <x:c r="C45" s="15"/>
      <x:c r="D45" s="16"/>
      <x:c r="E45" s="14"/>
      <x:c r="F45" s="14"/>
      <x:c r="G45" s="18"/>
      <x:c r="H45" s="17"/>
      <x:c r="I45" s="17"/>
      <x:c r="J45" s="17"/>
      <x:c r="K45" s="17"/>
      <x:c r="L45" s="14"/>
      <x:c r="M45" s="16"/>
      <x:c r="N45" s="14"/>
      <x:c r="O45" s="14"/>
      <x:c r="P45" s="18"/>
      <x:c r="Q45" s="15"/>
      <x:c r="R45" s="20" t="str">
        <x:f>IF(E45="","",IF(L45="Cancelado",0,IF(G45="",1,G45)*H45+I45-J45))</x:f>
      </x:c>
      <x:c r="S45" s="20" t="str">
        <x:f>IF(E45="","",SUMIFS('Pagos'!$D$2:$D$3001,'Pagos'!$B$2:$B$3001,A45,'Pagos'!$C$2:$C$3001,"Abono")-SUMIFS('Pagos'!$D$2:$D$3001,'Pagos'!$B$2:$B$3001,A45,'Pagos'!$C$2:$C$3001,"Devolución"))</x:f>
      </x:c>
      <x:c r="T45" s="20" t="str">
        <x:f>IF(E45="","",R45-S45)</x:f>
      </x:c>
      <x:c r="U45" s="14"/>
    </x:row>
    <x:row r="46" ht="80" customHeight="1">
      <x:c r="A46" s="15"/>
      <x:c r="B46" s="15"/>
      <x:c r="C46" s="15"/>
      <x:c r="D46" s="16"/>
      <x:c r="E46" s="14"/>
      <x:c r="F46" s="14"/>
      <x:c r="G46" s="18"/>
      <x:c r="H46" s="17"/>
      <x:c r="I46" s="17"/>
      <x:c r="J46" s="17"/>
      <x:c r="K46" s="17"/>
      <x:c r="L46" s="14"/>
      <x:c r="M46" s="16"/>
      <x:c r="N46" s="14"/>
      <x:c r="O46" s="14"/>
      <x:c r="P46" s="18"/>
      <x:c r="Q46" s="15"/>
      <x:c r="R46" s="20" t="str">
        <x:f>IF(E46="","",IF(L46="Cancelado",0,IF(G46="",1,G46)*H46+I46-J46))</x:f>
      </x:c>
      <x:c r="S46" s="20" t="str">
        <x:f>IF(E46="","",SUMIFS('Pagos'!$D$2:$D$3001,'Pagos'!$B$2:$B$3001,A46,'Pagos'!$C$2:$C$3001,"Abono")-SUMIFS('Pagos'!$D$2:$D$3001,'Pagos'!$B$2:$B$3001,A46,'Pagos'!$C$2:$C$3001,"Devolución"))</x:f>
      </x:c>
      <x:c r="T46" s="20" t="str">
        <x:f>IF(E46="","",R46-S46)</x:f>
      </x:c>
      <x:c r="U46" s="14"/>
    </x:row>
    <x:row r="47" ht="80" customHeight="1">
      <x:c r="A47" s="15"/>
      <x:c r="B47" s="15"/>
      <x:c r="C47" s="15"/>
      <x:c r="D47" s="16"/>
      <x:c r="E47" s="14"/>
      <x:c r="F47" s="14"/>
      <x:c r="G47" s="18"/>
      <x:c r="H47" s="17"/>
      <x:c r="I47" s="17"/>
      <x:c r="J47" s="17"/>
      <x:c r="K47" s="17"/>
      <x:c r="L47" s="14"/>
      <x:c r="M47" s="16"/>
      <x:c r="N47" s="14"/>
      <x:c r="O47" s="14"/>
      <x:c r="P47" s="18"/>
      <x:c r="Q47" s="15"/>
      <x:c r="R47" s="20" t="str">
        <x:f>IF(E47="","",IF(L47="Cancelado",0,IF(G47="",1,G47)*H47+I47-J47))</x:f>
      </x:c>
      <x:c r="S47" s="20" t="str">
        <x:f>IF(E47="","",SUMIFS('Pagos'!$D$2:$D$3001,'Pagos'!$B$2:$B$3001,A47,'Pagos'!$C$2:$C$3001,"Abono")-SUMIFS('Pagos'!$D$2:$D$3001,'Pagos'!$B$2:$B$3001,A47,'Pagos'!$C$2:$C$3001,"Devolución"))</x:f>
      </x:c>
      <x:c r="T47" s="20" t="str">
        <x:f>IF(E47="","",R47-S47)</x:f>
      </x:c>
      <x:c r="U47" s="14"/>
    </x:row>
    <x:row r="48" ht="80" customHeight="1">
      <x:c r="A48" s="15"/>
      <x:c r="B48" s="15"/>
      <x:c r="C48" s="15"/>
      <x:c r="D48" s="16"/>
      <x:c r="E48" s="14"/>
      <x:c r="F48" s="14"/>
      <x:c r="G48" s="18"/>
      <x:c r="H48" s="17"/>
      <x:c r="I48" s="17"/>
      <x:c r="J48" s="17"/>
      <x:c r="K48" s="17"/>
      <x:c r="L48" s="14"/>
      <x:c r="M48" s="16"/>
      <x:c r="N48" s="14"/>
      <x:c r="O48" s="14"/>
      <x:c r="P48" s="18"/>
      <x:c r="Q48" s="15"/>
      <x:c r="R48" s="20" t="str">
        <x:f>IF(E48="","",IF(L48="Cancelado",0,IF(G48="",1,G48)*H48+I48-J48))</x:f>
      </x:c>
      <x:c r="S48" s="20" t="str">
        <x:f>IF(E48="","",SUMIFS('Pagos'!$D$2:$D$3001,'Pagos'!$B$2:$B$3001,A48,'Pagos'!$C$2:$C$3001,"Abono")-SUMIFS('Pagos'!$D$2:$D$3001,'Pagos'!$B$2:$B$3001,A48,'Pagos'!$C$2:$C$3001,"Devolución"))</x:f>
      </x:c>
      <x:c r="T48" s="20" t="str">
        <x:f>IF(E48="","",R48-S48)</x:f>
      </x:c>
      <x:c r="U48" s="14"/>
    </x:row>
    <x:row r="49" ht="80" customHeight="1">
      <x:c r="A49" s="15"/>
      <x:c r="B49" s="15"/>
      <x:c r="C49" s="15"/>
      <x:c r="D49" s="16"/>
      <x:c r="E49" s="14"/>
      <x:c r="F49" s="14"/>
      <x:c r="G49" s="18"/>
      <x:c r="H49" s="17"/>
      <x:c r="I49" s="17"/>
      <x:c r="J49" s="17"/>
      <x:c r="K49" s="17"/>
      <x:c r="L49" s="14"/>
      <x:c r="M49" s="16"/>
      <x:c r="N49" s="14"/>
      <x:c r="O49" s="14"/>
      <x:c r="P49" s="18"/>
      <x:c r="Q49" s="15"/>
      <x:c r="R49" s="20" t="str">
        <x:f>IF(E49="","",IF(L49="Cancelado",0,IF(G49="",1,G49)*H49+I49-J49))</x:f>
      </x:c>
      <x:c r="S49" s="20" t="str">
        <x:f>IF(E49="","",SUMIFS('Pagos'!$D$2:$D$3001,'Pagos'!$B$2:$B$3001,A49,'Pagos'!$C$2:$C$3001,"Abono")-SUMIFS('Pagos'!$D$2:$D$3001,'Pagos'!$B$2:$B$3001,A49,'Pagos'!$C$2:$C$3001,"Devolución"))</x:f>
      </x:c>
      <x:c r="T49" s="20" t="str">
        <x:f>IF(E49="","",R49-S49)</x:f>
      </x:c>
      <x:c r="U49" s="14"/>
    </x:row>
    <x:row r="50" ht="80" customHeight="1">
      <x:c r="A50" s="15"/>
      <x:c r="B50" s="15"/>
      <x:c r="C50" s="15"/>
      <x:c r="D50" s="16"/>
      <x:c r="E50" s="14"/>
      <x:c r="F50" s="14"/>
      <x:c r="G50" s="18"/>
      <x:c r="H50" s="17"/>
      <x:c r="I50" s="17"/>
      <x:c r="J50" s="17"/>
      <x:c r="K50" s="17"/>
      <x:c r="L50" s="14"/>
      <x:c r="M50" s="16"/>
      <x:c r="N50" s="14"/>
      <x:c r="O50" s="14"/>
      <x:c r="P50" s="18"/>
      <x:c r="Q50" s="15"/>
      <x:c r="R50" s="20" t="str">
        <x:f>IF(E50="","",IF(L50="Cancelado",0,IF(G50="",1,G50)*H50+I50-J50))</x:f>
      </x:c>
      <x:c r="S50" s="20" t="str">
        <x:f>IF(E50="","",SUMIFS('Pagos'!$D$2:$D$3001,'Pagos'!$B$2:$B$3001,A50,'Pagos'!$C$2:$C$3001,"Abono")-SUMIFS('Pagos'!$D$2:$D$3001,'Pagos'!$B$2:$B$3001,A50,'Pagos'!$C$2:$C$3001,"Devolución"))</x:f>
      </x:c>
      <x:c r="T50" s="20" t="str">
        <x:f>IF(E50="","",R50-S50)</x:f>
      </x:c>
      <x:c r="U50" s="14"/>
    </x:row>
    <x:row r="51" ht="80" customHeight="1">
      <x:c r="A51" s="15"/>
      <x:c r="B51" s="15"/>
      <x:c r="C51" s="15"/>
      <x:c r="D51" s="16"/>
      <x:c r="E51" s="14"/>
      <x:c r="F51" s="14"/>
      <x:c r="G51" s="18"/>
      <x:c r="H51" s="17"/>
      <x:c r="I51" s="17"/>
      <x:c r="J51" s="17"/>
      <x:c r="K51" s="17"/>
      <x:c r="L51" s="14"/>
      <x:c r="M51" s="16"/>
      <x:c r="N51" s="14"/>
      <x:c r="O51" s="14"/>
      <x:c r="P51" s="18"/>
      <x:c r="Q51" s="15"/>
      <x:c r="R51" s="20" t="str">
        <x:f>IF(E51="","",IF(L51="Cancelado",0,IF(G51="",1,G51)*H51+I51-J51))</x:f>
      </x:c>
      <x:c r="S51" s="20" t="str">
        <x:f>IF(E51="","",SUMIFS('Pagos'!$D$2:$D$3001,'Pagos'!$B$2:$B$3001,A51,'Pagos'!$C$2:$C$3001,"Abono")-SUMIFS('Pagos'!$D$2:$D$3001,'Pagos'!$B$2:$B$3001,A51,'Pagos'!$C$2:$C$3001,"Devolución"))</x:f>
      </x:c>
      <x:c r="T51" s="20" t="str">
        <x:f>IF(E51="","",R51-S51)</x:f>
      </x:c>
      <x:c r="U51" s="14"/>
    </x:row>
    <x:row r="52" ht="80" customHeight="1">
      <x:c r="A52" s="15"/>
      <x:c r="B52" s="15"/>
      <x:c r="C52" s="15"/>
      <x:c r="D52" s="16"/>
      <x:c r="E52" s="14"/>
      <x:c r="F52" s="14"/>
      <x:c r="G52" s="18"/>
      <x:c r="H52" s="17"/>
      <x:c r="I52" s="17"/>
      <x:c r="J52" s="17"/>
      <x:c r="K52" s="17"/>
      <x:c r="L52" s="14"/>
      <x:c r="M52" s="16"/>
      <x:c r="N52" s="14"/>
      <x:c r="O52" s="14"/>
      <x:c r="P52" s="18"/>
      <x:c r="Q52" s="15"/>
      <x:c r="R52" s="20" t="str">
        <x:f>IF(E52="","",IF(L52="Cancelado",0,IF(G52="",1,G52)*H52+I52-J52))</x:f>
      </x:c>
      <x:c r="S52" s="20" t="str">
        <x:f>IF(E52="","",SUMIFS('Pagos'!$D$2:$D$3001,'Pagos'!$B$2:$B$3001,A52,'Pagos'!$C$2:$C$3001,"Abono")-SUMIFS('Pagos'!$D$2:$D$3001,'Pagos'!$B$2:$B$3001,A52,'Pagos'!$C$2:$C$3001,"Devolución"))</x:f>
      </x:c>
      <x:c r="T52" s="20" t="str">
        <x:f>IF(E52="","",R52-S52)</x:f>
      </x:c>
      <x:c r="U52" s="14"/>
    </x:row>
    <x:row r="53" ht="80" customHeight="1">
      <x:c r="A53" s="15"/>
      <x:c r="B53" s="15"/>
      <x:c r="C53" s="15"/>
      <x:c r="D53" s="16"/>
      <x:c r="E53" s="14"/>
      <x:c r="F53" s="14"/>
      <x:c r="G53" s="18"/>
      <x:c r="H53" s="17"/>
      <x:c r="I53" s="17"/>
      <x:c r="J53" s="17"/>
      <x:c r="K53" s="17"/>
      <x:c r="L53" s="14"/>
      <x:c r="M53" s="16"/>
      <x:c r="N53" s="14"/>
      <x:c r="O53" s="14"/>
      <x:c r="P53" s="18"/>
      <x:c r="Q53" s="15"/>
      <x:c r="R53" s="20" t="str">
        <x:f>IF(E53="","",IF(L53="Cancelado",0,IF(G53="",1,G53)*H53+I53-J53))</x:f>
      </x:c>
      <x:c r="S53" s="20" t="str">
        <x:f>IF(E53="","",SUMIFS('Pagos'!$D$2:$D$3001,'Pagos'!$B$2:$B$3001,A53,'Pagos'!$C$2:$C$3001,"Abono")-SUMIFS('Pagos'!$D$2:$D$3001,'Pagos'!$B$2:$B$3001,A53,'Pagos'!$C$2:$C$3001,"Devolución"))</x:f>
      </x:c>
      <x:c r="T53" s="20" t="str">
        <x:f>IF(E53="","",R53-S53)</x:f>
      </x:c>
      <x:c r="U53" s="14"/>
    </x:row>
    <x:row r="54" ht="80" customHeight="1">
      <x:c r="A54" s="15"/>
      <x:c r="B54" s="15"/>
      <x:c r="C54" s="15"/>
      <x:c r="D54" s="16"/>
      <x:c r="E54" s="14"/>
      <x:c r="F54" s="14"/>
      <x:c r="G54" s="18"/>
      <x:c r="H54" s="17"/>
      <x:c r="I54" s="17"/>
      <x:c r="J54" s="17"/>
      <x:c r="K54" s="17"/>
      <x:c r="L54" s="14"/>
      <x:c r="M54" s="16"/>
      <x:c r="N54" s="14"/>
      <x:c r="O54" s="14"/>
      <x:c r="P54" s="18"/>
      <x:c r="Q54" s="15"/>
      <x:c r="R54" s="20" t="str">
        <x:f>IF(E54="","",IF(L54="Cancelado",0,IF(G54="",1,G54)*H54+I54-J54))</x:f>
      </x:c>
      <x:c r="S54" s="20" t="str">
        <x:f>IF(E54="","",SUMIFS('Pagos'!$D$2:$D$3001,'Pagos'!$B$2:$B$3001,A54,'Pagos'!$C$2:$C$3001,"Abono")-SUMIFS('Pagos'!$D$2:$D$3001,'Pagos'!$B$2:$B$3001,A54,'Pagos'!$C$2:$C$3001,"Devolución"))</x:f>
      </x:c>
      <x:c r="T54" s="20" t="str">
        <x:f>IF(E54="","",R54-S54)</x:f>
      </x:c>
      <x:c r="U54" s="14"/>
    </x:row>
    <x:row r="55" ht="80" customHeight="1">
      <x:c r="A55" s="15"/>
      <x:c r="B55" s="15"/>
      <x:c r="C55" s="15"/>
      <x:c r="D55" s="16"/>
      <x:c r="E55" s="14"/>
      <x:c r="F55" s="14"/>
      <x:c r="G55" s="18"/>
      <x:c r="H55" s="17"/>
      <x:c r="I55" s="17"/>
      <x:c r="J55" s="17"/>
      <x:c r="K55" s="17"/>
      <x:c r="L55" s="14"/>
      <x:c r="M55" s="16"/>
      <x:c r="N55" s="14"/>
      <x:c r="O55" s="14"/>
      <x:c r="P55" s="18"/>
      <x:c r="Q55" s="15"/>
      <x:c r="R55" s="20" t="str">
        <x:f>IF(E55="","",IF(L55="Cancelado",0,IF(G55="",1,G55)*H55+I55-J55))</x:f>
      </x:c>
      <x:c r="S55" s="20" t="str">
        <x:f>IF(E55="","",SUMIFS('Pagos'!$D$2:$D$3001,'Pagos'!$B$2:$B$3001,A55,'Pagos'!$C$2:$C$3001,"Abono")-SUMIFS('Pagos'!$D$2:$D$3001,'Pagos'!$B$2:$B$3001,A55,'Pagos'!$C$2:$C$3001,"Devolución"))</x:f>
      </x:c>
      <x:c r="T55" s="20" t="str">
        <x:f>IF(E55="","",R55-S55)</x:f>
      </x:c>
      <x:c r="U55" s="14"/>
    </x:row>
    <x:row r="56" ht="80" customHeight="1">
      <x:c r="A56" s="15"/>
      <x:c r="B56" s="15"/>
      <x:c r="C56" s="15"/>
      <x:c r="D56" s="16"/>
      <x:c r="E56" s="14"/>
      <x:c r="F56" s="14"/>
      <x:c r="G56" s="18"/>
      <x:c r="H56" s="17"/>
      <x:c r="I56" s="17"/>
      <x:c r="J56" s="17"/>
      <x:c r="K56" s="17"/>
      <x:c r="L56" s="14"/>
      <x:c r="M56" s="16"/>
      <x:c r="N56" s="14"/>
      <x:c r="O56" s="14"/>
      <x:c r="P56" s="18"/>
      <x:c r="Q56" s="15"/>
      <x:c r="R56" s="20" t="str">
        <x:f>IF(E56="","",IF(L56="Cancelado",0,IF(G56="",1,G56)*H56+I56-J56))</x:f>
      </x:c>
      <x:c r="S56" s="20" t="str">
        <x:f>IF(E56="","",SUMIFS('Pagos'!$D$2:$D$3001,'Pagos'!$B$2:$B$3001,A56,'Pagos'!$C$2:$C$3001,"Abono")-SUMIFS('Pagos'!$D$2:$D$3001,'Pagos'!$B$2:$B$3001,A56,'Pagos'!$C$2:$C$3001,"Devolución"))</x:f>
      </x:c>
      <x:c r="T56" s="20" t="str">
        <x:f>IF(E56="","",R56-S56)</x:f>
      </x:c>
      <x:c r="U56" s="14"/>
    </x:row>
    <x:row r="57" ht="80" customHeight="1">
      <x:c r="A57" s="15"/>
      <x:c r="B57" s="15"/>
      <x:c r="C57" s="15"/>
      <x:c r="D57" s="16"/>
      <x:c r="E57" s="14"/>
      <x:c r="F57" s="14"/>
      <x:c r="G57" s="18"/>
      <x:c r="H57" s="17"/>
      <x:c r="I57" s="17"/>
      <x:c r="J57" s="17"/>
      <x:c r="K57" s="17"/>
      <x:c r="L57" s="14"/>
      <x:c r="M57" s="16"/>
      <x:c r="N57" s="14"/>
      <x:c r="O57" s="14"/>
      <x:c r="P57" s="18"/>
      <x:c r="Q57" s="15"/>
      <x:c r="R57" s="20" t="str">
        <x:f>IF(E57="","",IF(L57="Cancelado",0,IF(G57="",1,G57)*H57+I57-J57))</x:f>
      </x:c>
      <x:c r="S57" s="20" t="str">
        <x:f>IF(E57="","",SUMIFS('Pagos'!$D$2:$D$3001,'Pagos'!$B$2:$B$3001,A57,'Pagos'!$C$2:$C$3001,"Abono")-SUMIFS('Pagos'!$D$2:$D$3001,'Pagos'!$B$2:$B$3001,A57,'Pagos'!$C$2:$C$3001,"Devolución"))</x:f>
      </x:c>
      <x:c r="T57" s="20" t="str">
        <x:f>IF(E57="","",R57-S57)</x:f>
      </x:c>
      <x:c r="U57" s="14"/>
    </x:row>
    <x:row r="58" ht="80" customHeight="1">
      <x:c r="A58" s="15"/>
      <x:c r="B58" s="15"/>
      <x:c r="C58" s="15"/>
      <x:c r="D58" s="16"/>
      <x:c r="E58" s="14"/>
      <x:c r="F58" s="14"/>
      <x:c r="G58" s="18"/>
      <x:c r="H58" s="17"/>
      <x:c r="I58" s="17"/>
      <x:c r="J58" s="17"/>
      <x:c r="K58" s="17"/>
      <x:c r="L58" s="14"/>
      <x:c r="M58" s="16"/>
      <x:c r="N58" s="14"/>
      <x:c r="O58" s="14"/>
      <x:c r="P58" s="18"/>
      <x:c r="Q58" s="15"/>
      <x:c r="R58" s="20" t="str">
        <x:f>IF(E58="","",IF(L58="Cancelado",0,IF(G58="",1,G58)*H58+I58-J58))</x:f>
      </x:c>
      <x:c r="S58" s="20" t="str">
        <x:f>IF(E58="","",SUMIFS('Pagos'!$D$2:$D$3001,'Pagos'!$B$2:$B$3001,A58,'Pagos'!$C$2:$C$3001,"Abono")-SUMIFS('Pagos'!$D$2:$D$3001,'Pagos'!$B$2:$B$3001,A58,'Pagos'!$C$2:$C$3001,"Devolución"))</x:f>
      </x:c>
      <x:c r="T58" s="20" t="str">
        <x:f>IF(E58="","",R58-S58)</x:f>
      </x:c>
      <x:c r="U58" s="14"/>
    </x:row>
    <x:row r="59" ht="80" customHeight="1">
      <x:c r="A59" s="15"/>
      <x:c r="B59" s="15"/>
      <x:c r="C59" s="15"/>
      <x:c r="D59" s="16"/>
      <x:c r="E59" s="14"/>
      <x:c r="F59" s="14"/>
      <x:c r="G59" s="18"/>
      <x:c r="H59" s="17"/>
      <x:c r="I59" s="17"/>
      <x:c r="J59" s="17"/>
      <x:c r="K59" s="17"/>
      <x:c r="L59" s="14"/>
      <x:c r="M59" s="16"/>
      <x:c r="N59" s="14"/>
      <x:c r="O59" s="14"/>
      <x:c r="P59" s="18"/>
      <x:c r="Q59" s="15"/>
      <x:c r="R59" s="20" t="str">
        <x:f>IF(E59="","",IF(L59="Cancelado",0,IF(G59="",1,G59)*H59+I59-J59))</x:f>
      </x:c>
      <x:c r="S59" s="20" t="str">
        <x:f>IF(E59="","",SUMIFS('Pagos'!$D$2:$D$3001,'Pagos'!$B$2:$B$3001,A59,'Pagos'!$C$2:$C$3001,"Abono")-SUMIFS('Pagos'!$D$2:$D$3001,'Pagos'!$B$2:$B$3001,A59,'Pagos'!$C$2:$C$3001,"Devolución"))</x:f>
      </x:c>
      <x:c r="T59" s="20" t="str">
        <x:f>IF(E59="","",R59-S59)</x:f>
      </x:c>
      <x:c r="U59" s="14"/>
    </x:row>
    <x:row r="60" ht="80" customHeight="1">
      <x:c r="A60" s="15"/>
      <x:c r="B60" s="15"/>
      <x:c r="C60" s="15"/>
      <x:c r="D60" s="16"/>
      <x:c r="E60" s="14"/>
      <x:c r="F60" s="14"/>
      <x:c r="G60" s="18"/>
      <x:c r="H60" s="17"/>
      <x:c r="I60" s="17"/>
      <x:c r="J60" s="17"/>
      <x:c r="K60" s="17"/>
      <x:c r="L60" s="14"/>
      <x:c r="M60" s="16"/>
      <x:c r="N60" s="14"/>
      <x:c r="O60" s="14"/>
      <x:c r="P60" s="18"/>
      <x:c r="Q60" s="15"/>
      <x:c r="R60" s="20" t="str">
        <x:f>IF(E60="","",IF(L60="Cancelado",0,IF(G60="",1,G60)*H60+I60-J60))</x:f>
      </x:c>
      <x:c r="S60" s="20" t="str">
        <x:f>IF(E60="","",SUMIFS('Pagos'!$D$2:$D$3001,'Pagos'!$B$2:$B$3001,A60,'Pagos'!$C$2:$C$3001,"Abono")-SUMIFS('Pagos'!$D$2:$D$3001,'Pagos'!$B$2:$B$3001,A60,'Pagos'!$C$2:$C$3001,"Devolución"))</x:f>
      </x:c>
      <x:c r="T60" s="20" t="str">
        <x:f>IF(E60="","",R60-S60)</x:f>
      </x:c>
      <x:c r="U60" s="14"/>
    </x:row>
    <x:row r="61" ht="80" customHeight="1">
      <x:c r="A61" s="15"/>
      <x:c r="B61" s="15"/>
      <x:c r="C61" s="15"/>
      <x:c r="D61" s="16"/>
      <x:c r="E61" s="14"/>
      <x:c r="F61" s="14"/>
      <x:c r="G61" s="18"/>
      <x:c r="H61" s="17"/>
      <x:c r="I61" s="17"/>
      <x:c r="J61" s="17"/>
      <x:c r="K61" s="17"/>
      <x:c r="L61" s="14"/>
      <x:c r="M61" s="16"/>
      <x:c r="N61" s="14"/>
      <x:c r="O61" s="14"/>
      <x:c r="P61" s="18"/>
      <x:c r="Q61" s="15"/>
      <x:c r="R61" s="20" t="str">
        <x:f>IF(E61="","",IF(L61="Cancelado",0,IF(G61="",1,G61)*H61+I61-J61))</x:f>
      </x:c>
      <x:c r="S61" s="20" t="str">
        <x:f>IF(E61="","",SUMIFS('Pagos'!$D$2:$D$3001,'Pagos'!$B$2:$B$3001,A61,'Pagos'!$C$2:$C$3001,"Abono")-SUMIFS('Pagos'!$D$2:$D$3001,'Pagos'!$B$2:$B$3001,A61,'Pagos'!$C$2:$C$3001,"Devolución"))</x:f>
      </x:c>
      <x:c r="T61" s="20" t="str">
        <x:f>IF(E61="","",R61-S61)</x:f>
      </x:c>
      <x:c r="U61" s="14"/>
    </x:row>
    <x:row r="62" ht="80" customHeight="1">
      <x:c r="A62" s="15"/>
      <x:c r="B62" s="15"/>
      <x:c r="C62" s="15"/>
      <x:c r="D62" s="16"/>
      <x:c r="E62" s="14"/>
      <x:c r="F62" s="14"/>
      <x:c r="G62" s="18"/>
      <x:c r="H62" s="17"/>
      <x:c r="I62" s="17"/>
      <x:c r="J62" s="17"/>
      <x:c r="K62" s="17"/>
      <x:c r="L62" s="14"/>
      <x:c r="M62" s="16"/>
      <x:c r="N62" s="14"/>
      <x:c r="O62" s="14"/>
      <x:c r="P62" s="18"/>
      <x:c r="Q62" s="15"/>
      <x:c r="R62" s="20" t="str">
        <x:f>IF(E62="","",IF(L62="Cancelado",0,IF(G62="",1,G62)*H62+I62-J62))</x:f>
      </x:c>
      <x:c r="S62" s="20" t="str">
        <x:f>IF(E62="","",SUMIFS('Pagos'!$D$2:$D$3001,'Pagos'!$B$2:$B$3001,A62,'Pagos'!$C$2:$C$3001,"Abono")-SUMIFS('Pagos'!$D$2:$D$3001,'Pagos'!$B$2:$B$3001,A62,'Pagos'!$C$2:$C$3001,"Devolución"))</x:f>
      </x:c>
      <x:c r="T62" s="20" t="str">
        <x:f>IF(E62="","",R62-S62)</x:f>
      </x:c>
      <x:c r="U62" s="14"/>
    </x:row>
    <x:row r="63" ht="80" customHeight="1">
      <x:c r="A63" s="15"/>
      <x:c r="B63" s="15"/>
      <x:c r="C63" s="15"/>
      <x:c r="D63" s="16"/>
      <x:c r="E63" s="14"/>
      <x:c r="F63" s="14"/>
      <x:c r="G63" s="18"/>
      <x:c r="H63" s="17"/>
      <x:c r="I63" s="17"/>
      <x:c r="J63" s="17"/>
      <x:c r="K63" s="17"/>
      <x:c r="L63" s="14"/>
      <x:c r="M63" s="16"/>
      <x:c r="N63" s="14"/>
      <x:c r="O63" s="14"/>
      <x:c r="P63" s="18"/>
      <x:c r="Q63" s="15"/>
      <x:c r="R63" s="20" t="str">
        <x:f>IF(E63="","",IF(L63="Cancelado",0,IF(G63="",1,G63)*H63+I63-J63))</x:f>
      </x:c>
      <x:c r="S63" s="20" t="str">
        <x:f>IF(E63="","",SUMIFS('Pagos'!$D$2:$D$3001,'Pagos'!$B$2:$B$3001,A63,'Pagos'!$C$2:$C$3001,"Abono")-SUMIFS('Pagos'!$D$2:$D$3001,'Pagos'!$B$2:$B$3001,A63,'Pagos'!$C$2:$C$3001,"Devolución"))</x:f>
      </x:c>
      <x:c r="T63" s="20" t="str">
        <x:f>IF(E63="","",R63-S63)</x:f>
      </x:c>
      <x:c r="U63" s="14"/>
    </x:row>
    <x:row r="64" ht="80" customHeight="1">
      <x:c r="A64" s="15"/>
      <x:c r="B64" s="15"/>
      <x:c r="C64" s="15"/>
      <x:c r="D64" s="16"/>
      <x:c r="E64" s="14"/>
      <x:c r="F64" s="14"/>
      <x:c r="G64" s="18"/>
      <x:c r="H64" s="17"/>
      <x:c r="I64" s="17"/>
      <x:c r="J64" s="17"/>
      <x:c r="K64" s="17"/>
      <x:c r="L64" s="14"/>
      <x:c r="M64" s="16"/>
      <x:c r="N64" s="14"/>
      <x:c r="O64" s="14"/>
      <x:c r="P64" s="18"/>
      <x:c r="Q64" s="15"/>
      <x:c r="R64" s="20" t="str">
        <x:f>IF(E64="","",IF(L64="Cancelado",0,IF(G64="",1,G64)*H64+I64-J64))</x:f>
      </x:c>
      <x:c r="S64" s="20" t="str">
        <x:f>IF(E64="","",SUMIFS('Pagos'!$D$2:$D$3001,'Pagos'!$B$2:$B$3001,A64,'Pagos'!$C$2:$C$3001,"Abono")-SUMIFS('Pagos'!$D$2:$D$3001,'Pagos'!$B$2:$B$3001,A64,'Pagos'!$C$2:$C$3001,"Devolución"))</x:f>
      </x:c>
      <x:c r="T64" s="20" t="str">
        <x:f>IF(E64="","",R64-S64)</x:f>
      </x:c>
      <x:c r="U64" s="14"/>
    </x:row>
    <x:row r="65" ht="80" customHeight="1">
      <x:c r="A65" s="15"/>
      <x:c r="B65" s="15"/>
      <x:c r="C65" s="15"/>
      <x:c r="D65" s="16"/>
      <x:c r="E65" s="14"/>
      <x:c r="F65" s="14"/>
      <x:c r="G65" s="18"/>
      <x:c r="H65" s="17"/>
      <x:c r="I65" s="17"/>
      <x:c r="J65" s="17"/>
      <x:c r="K65" s="17"/>
      <x:c r="L65" s="14"/>
      <x:c r="M65" s="16"/>
      <x:c r="N65" s="14"/>
      <x:c r="O65" s="14"/>
      <x:c r="P65" s="18"/>
      <x:c r="Q65" s="15"/>
      <x:c r="R65" s="20" t="str">
        <x:f>IF(E65="","",IF(L65="Cancelado",0,IF(G65="",1,G65)*H65+I65-J65))</x:f>
      </x:c>
      <x:c r="S65" s="20" t="str">
        <x:f>IF(E65="","",SUMIFS('Pagos'!$D$2:$D$3001,'Pagos'!$B$2:$B$3001,A65,'Pagos'!$C$2:$C$3001,"Abono")-SUMIFS('Pagos'!$D$2:$D$3001,'Pagos'!$B$2:$B$3001,A65,'Pagos'!$C$2:$C$3001,"Devolución"))</x:f>
      </x:c>
      <x:c r="T65" s="20" t="str">
        <x:f>IF(E65="","",R65-S65)</x:f>
      </x:c>
      <x:c r="U65" s="14"/>
    </x:row>
    <x:row r="66" ht="80" customHeight="1">
      <x:c r="A66" s="15"/>
      <x:c r="B66" s="15"/>
      <x:c r="C66" s="15"/>
      <x:c r="D66" s="16"/>
      <x:c r="E66" s="14"/>
      <x:c r="F66" s="14"/>
      <x:c r="G66" s="18"/>
      <x:c r="H66" s="17"/>
      <x:c r="I66" s="17"/>
      <x:c r="J66" s="17"/>
      <x:c r="K66" s="17"/>
      <x:c r="L66" s="14"/>
      <x:c r="M66" s="16"/>
      <x:c r="N66" s="14"/>
      <x:c r="O66" s="14"/>
      <x:c r="P66" s="18"/>
      <x:c r="Q66" s="15"/>
      <x:c r="R66" s="20" t="str">
        <x:f>IF(E66="","",IF(L66="Cancelado",0,IF(G66="",1,G66)*H66+I66-J66))</x:f>
      </x:c>
      <x:c r="S66" s="20" t="str">
        <x:f>IF(E66="","",SUMIFS('Pagos'!$D$2:$D$3001,'Pagos'!$B$2:$B$3001,A66,'Pagos'!$C$2:$C$3001,"Abono")-SUMIFS('Pagos'!$D$2:$D$3001,'Pagos'!$B$2:$B$3001,A66,'Pagos'!$C$2:$C$3001,"Devolución"))</x:f>
      </x:c>
      <x:c r="T66" s="20" t="str">
        <x:f>IF(E66="","",R66-S66)</x:f>
      </x:c>
      <x:c r="U66" s="14"/>
    </x:row>
    <x:row r="67" ht="80" customHeight="1">
      <x:c r="A67" s="15"/>
      <x:c r="B67" s="15"/>
      <x:c r="C67" s="15"/>
      <x:c r="D67" s="16"/>
      <x:c r="E67" s="14"/>
      <x:c r="F67" s="14"/>
      <x:c r="G67" s="18"/>
      <x:c r="H67" s="17"/>
      <x:c r="I67" s="17"/>
      <x:c r="J67" s="17"/>
      <x:c r="K67" s="17"/>
      <x:c r="L67" s="14"/>
      <x:c r="M67" s="16"/>
      <x:c r="N67" s="14"/>
      <x:c r="O67" s="14"/>
      <x:c r="P67" s="18"/>
      <x:c r="Q67" s="15"/>
      <x:c r="R67" s="20" t="str">
        <x:f>IF(E67="","",IF(L67="Cancelado",0,IF(G67="",1,G67)*H67+I67-J67))</x:f>
      </x:c>
      <x:c r="S67" s="20" t="str">
        <x:f>IF(E67="","",SUMIFS('Pagos'!$D$2:$D$3001,'Pagos'!$B$2:$B$3001,A67,'Pagos'!$C$2:$C$3001,"Abono")-SUMIFS('Pagos'!$D$2:$D$3001,'Pagos'!$B$2:$B$3001,A67,'Pagos'!$C$2:$C$3001,"Devolución"))</x:f>
      </x:c>
      <x:c r="T67" s="20" t="str">
        <x:f>IF(E67="","",R67-S67)</x:f>
      </x:c>
      <x:c r="U67" s="14"/>
    </x:row>
    <x:row r="68" ht="80" customHeight="1">
      <x:c r="A68" s="15"/>
      <x:c r="B68" s="15"/>
      <x:c r="C68" s="15"/>
      <x:c r="D68" s="16"/>
      <x:c r="E68" s="14"/>
      <x:c r="F68" s="14"/>
      <x:c r="G68" s="18"/>
      <x:c r="H68" s="17"/>
      <x:c r="I68" s="17"/>
      <x:c r="J68" s="17"/>
      <x:c r="K68" s="17"/>
      <x:c r="L68" s="14"/>
      <x:c r="M68" s="16"/>
      <x:c r="N68" s="14"/>
      <x:c r="O68" s="14"/>
      <x:c r="P68" s="18"/>
      <x:c r="Q68" s="15"/>
      <x:c r="R68" s="20" t="str">
        <x:f>IF(E68="","",IF(L68="Cancelado",0,IF(G68="",1,G68)*H68+I68-J68))</x:f>
      </x:c>
      <x:c r="S68" s="20" t="str">
        <x:f>IF(E68="","",SUMIFS('Pagos'!$D$2:$D$3001,'Pagos'!$B$2:$B$3001,A68,'Pagos'!$C$2:$C$3001,"Abono")-SUMIFS('Pagos'!$D$2:$D$3001,'Pagos'!$B$2:$B$3001,A68,'Pagos'!$C$2:$C$3001,"Devolución"))</x:f>
      </x:c>
      <x:c r="T68" s="20" t="str">
        <x:f>IF(E68="","",R68-S68)</x:f>
      </x:c>
      <x:c r="U68" s="14"/>
    </x:row>
    <x:row r="69" ht="80" customHeight="1">
      <x:c r="A69" s="15"/>
      <x:c r="B69" s="15"/>
      <x:c r="C69" s="15"/>
      <x:c r="D69" s="16"/>
      <x:c r="E69" s="14"/>
      <x:c r="F69" s="14"/>
      <x:c r="G69" s="18"/>
      <x:c r="H69" s="17"/>
      <x:c r="I69" s="17"/>
      <x:c r="J69" s="17"/>
      <x:c r="K69" s="17"/>
      <x:c r="L69" s="14"/>
      <x:c r="M69" s="16"/>
      <x:c r="N69" s="14"/>
      <x:c r="O69" s="14"/>
      <x:c r="P69" s="18"/>
      <x:c r="Q69" s="15"/>
      <x:c r="R69" s="20" t="str">
        <x:f>IF(E69="","",IF(L69="Cancelado",0,IF(G69="",1,G69)*H69+I69-J69))</x:f>
      </x:c>
      <x:c r="S69" s="20" t="str">
        <x:f>IF(E69="","",SUMIFS('Pagos'!$D$2:$D$3001,'Pagos'!$B$2:$B$3001,A69,'Pagos'!$C$2:$C$3001,"Abono")-SUMIFS('Pagos'!$D$2:$D$3001,'Pagos'!$B$2:$B$3001,A69,'Pagos'!$C$2:$C$3001,"Devolución"))</x:f>
      </x:c>
      <x:c r="T69" s="20" t="str">
        <x:f>IF(E69="","",R69-S69)</x:f>
      </x:c>
      <x:c r="U69" s="14"/>
    </x:row>
    <x:row r="70" ht="80" customHeight="1">
      <x:c r="A70" s="15"/>
      <x:c r="B70" s="15"/>
      <x:c r="C70" s="15"/>
      <x:c r="D70" s="16"/>
      <x:c r="E70" s="14"/>
      <x:c r="F70" s="14"/>
      <x:c r="G70" s="18"/>
      <x:c r="H70" s="17"/>
      <x:c r="I70" s="17"/>
      <x:c r="J70" s="17"/>
      <x:c r="K70" s="17"/>
      <x:c r="L70" s="14"/>
      <x:c r="M70" s="16"/>
      <x:c r="N70" s="14"/>
      <x:c r="O70" s="14"/>
      <x:c r="P70" s="18"/>
      <x:c r="Q70" s="15"/>
      <x:c r="R70" s="20" t="str">
        <x:f>IF(E70="","",IF(L70="Cancelado",0,IF(G70="",1,G70)*H70+I70-J70))</x:f>
      </x:c>
      <x:c r="S70" s="20" t="str">
        <x:f>IF(E70="","",SUMIFS('Pagos'!$D$2:$D$3001,'Pagos'!$B$2:$B$3001,A70,'Pagos'!$C$2:$C$3001,"Abono")-SUMIFS('Pagos'!$D$2:$D$3001,'Pagos'!$B$2:$B$3001,A70,'Pagos'!$C$2:$C$3001,"Devolución"))</x:f>
      </x:c>
      <x:c r="T70" s="20" t="str">
        <x:f>IF(E70="","",R70-S70)</x:f>
      </x:c>
      <x:c r="U70" s="14"/>
    </x:row>
    <x:row r="71" ht="80" customHeight="1">
      <x:c r="A71" s="15"/>
      <x:c r="B71" s="15"/>
      <x:c r="C71" s="15"/>
      <x:c r="D71" s="16"/>
      <x:c r="E71" s="14"/>
      <x:c r="F71" s="14"/>
      <x:c r="G71" s="18"/>
      <x:c r="H71" s="17"/>
      <x:c r="I71" s="17"/>
      <x:c r="J71" s="17"/>
      <x:c r="K71" s="17"/>
      <x:c r="L71" s="14"/>
      <x:c r="M71" s="16"/>
      <x:c r="N71" s="14"/>
      <x:c r="O71" s="14"/>
      <x:c r="P71" s="18"/>
      <x:c r="Q71" s="15"/>
      <x:c r="R71" s="20" t="str">
        <x:f>IF(E71="","",IF(L71="Cancelado",0,IF(G71="",1,G71)*H71+I71-J71))</x:f>
      </x:c>
      <x:c r="S71" s="20" t="str">
        <x:f>IF(E71="","",SUMIFS('Pagos'!$D$2:$D$3001,'Pagos'!$B$2:$B$3001,A71,'Pagos'!$C$2:$C$3001,"Abono")-SUMIFS('Pagos'!$D$2:$D$3001,'Pagos'!$B$2:$B$3001,A71,'Pagos'!$C$2:$C$3001,"Devolución"))</x:f>
      </x:c>
      <x:c r="T71" s="20" t="str">
        <x:f>IF(E71="","",R71-S71)</x:f>
      </x:c>
      <x:c r="U71" s="14"/>
    </x:row>
    <x:row r="72" ht="80" customHeight="1">
      <x:c r="A72" s="15"/>
      <x:c r="B72" s="15"/>
      <x:c r="C72" s="15"/>
      <x:c r="D72" s="16"/>
      <x:c r="E72" s="14"/>
      <x:c r="F72" s="14"/>
      <x:c r="G72" s="18"/>
      <x:c r="H72" s="17"/>
      <x:c r="I72" s="17"/>
      <x:c r="J72" s="17"/>
      <x:c r="K72" s="17"/>
      <x:c r="L72" s="14"/>
      <x:c r="M72" s="16"/>
      <x:c r="N72" s="14"/>
      <x:c r="O72" s="14"/>
      <x:c r="P72" s="18"/>
      <x:c r="Q72" s="15"/>
      <x:c r="R72" s="20" t="str">
        <x:f>IF(E72="","",IF(L72="Cancelado",0,IF(G72="",1,G72)*H72+I72-J72))</x:f>
      </x:c>
      <x:c r="S72" s="20" t="str">
        <x:f>IF(E72="","",SUMIFS('Pagos'!$D$2:$D$3001,'Pagos'!$B$2:$B$3001,A72,'Pagos'!$C$2:$C$3001,"Abono")-SUMIFS('Pagos'!$D$2:$D$3001,'Pagos'!$B$2:$B$3001,A72,'Pagos'!$C$2:$C$3001,"Devolución"))</x:f>
      </x:c>
      <x:c r="T72" s="20" t="str">
        <x:f>IF(E72="","",R72-S72)</x:f>
      </x:c>
      <x:c r="U72" s="14"/>
    </x:row>
    <x:row r="73" ht="80" customHeight="1">
      <x:c r="A73" s="15"/>
      <x:c r="B73" s="15"/>
      <x:c r="C73" s="15"/>
      <x:c r="D73" s="16"/>
      <x:c r="E73" s="14"/>
      <x:c r="F73" s="14"/>
      <x:c r="G73" s="18"/>
      <x:c r="H73" s="17"/>
      <x:c r="I73" s="17"/>
      <x:c r="J73" s="17"/>
      <x:c r="K73" s="17"/>
      <x:c r="L73" s="14"/>
      <x:c r="M73" s="16"/>
      <x:c r="N73" s="14"/>
      <x:c r="O73" s="14"/>
      <x:c r="P73" s="18"/>
      <x:c r="Q73" s="15"/>
      <x:c r="R73" s="20" t="str">
        <x:f>IF(E73="","",IF(L73="Cancelado",0,IF(G73="",1,G73)*H73+I73-J73))</x:f>
      </x:c>
      <x:c r="S73" s="20" t="str">
        <x:f>IF(E73="","",SUMIFS('Pagos'!$D$2:$D$3001,'Pagos'!$B$2:$B$3001,A73,'Pagos'!$C$2:$C$3001,"Abono")-SUMIFS('Pagos'!$D$2:$D$3001,'Pagos'!$B$2:$B$3001,A73,'Pagos'!$C$2:$C$3001,"Devolución"))</x:f>
      </x:c>
      <x:c r="T73" s="20" t="str">
        <x:f>IF(E73="","",R73-S73)</x:f>
      </x:c>
      <x:c r="U73" s="14"/>
    </x:row>
    <x:row r="74" ht="80" customHeight="1">
      <x:c r="A74" s="15"/>
      <x:c r="B74" s="15"/>
      <x:c r="C74" s="15"/>
      <x:c r="D74" s="16"/>
      <x:c r="E74" s="14"/>
      <x:c r="F74" s="14"/>
      <x:c r="G74" s="18"/>
      <x:c r="H74" s="17"/>
      <x:c r="I74" s="17"/>
      <x:c r="J74" s="17"/>
      <x:c r="K74" s="17"/>
      <x:c r="L74" s="14"/>
      <x:c r="M74" s="16"/>
      <x:c r="N74" s="14"/>
      <x:c r="O74" s="14"/>
      <x:c r="P74" s="18"/>
      <x:c r="Q74" s="15"/>
      <x:c r="R74" s="20" t="str">
        <x:f>IF(E74="","",IF(L74="Cancelado",0,IF(G74="",1,G74)*H74+I74-J74))</x:f>
      </x:c>
      <x:c r="S74" s="20" t="str">
        <x:f>IF(E74="","",SUMIFS('Pagos'!$D$2:$D$3001,'Pagos'!$B$2:$B$3001,A74,'Pagos'!$C$2:$C$3001,"Abono")-SUMIFS('Pagos'!$D$2:$D$3001,'Pagos'!$B$2:$B$3001,A74,'Pagos'!$C$2:$C$3001,"Devolución"))</x:f>
      </x:c>
      <x:c r="T74" s="20" t="str">
        <x:f>IF(E74="","",R74-S74)</x:f>
      </x:c>
      <x:c r="U74" s="14"/>
    </x:row>
    <x:row r="75" ht="80" customHeight="1">
      <x:c r="A75" s="15"/>
      <x:c r="B75" s="15"/>
      <x:c r="C75" s="15"/>
      <x:c r="D75" s="16"/>
      <x:c r="E75" s="14"/>
      <x:c r="F75" s="14"/>
      <x:c r="G75" s="18"/>
      <x:c r="H75" s="17"/>
      <x:c r="I75" s="17"/>
      <x:c r="J75" s="17"/>
      <x:c r="K75" s="17"/>
      <x:c r="L75" s="14"/>
      <x:c r="M75" s="16"/>
      <x:c r="N75" s="14"/>
      <x:c r="O75" s="14"/>
      <x:c r="P75" s="18"/>
      <x:c r="Q75" s="15"/>
      <x:c r="R75" s="20" t="str">
        <x:f>IF(E75="","",IF(L75="Cancelado",0,IF(G75="",1,G75)*H75+I75-J75))</x:f>
      </x:c>
      <x:c r="S75" s="20" t="str">
        <x:f>IF(E75="","",SUMIFS('Pagos'!$D$2:$D$3001,'Pagos'!$B$2:$B$3001,A75,'Pagos'!$C$2:$C$3001,"Abono")-SUMIFS('Pagos'!$D$2:$D$3001,'Pagos'!$B$2:$B$3001,A75,'Pagos'!$C$2:$C$3001,"Devolución"))</x:f>
      </x:c>
      <x:c r="T75" s="20" t="str">
        <x:f>IF(E75="","",R75-S75)</x:f>
      </x:c>
      <x:c r="U75" s="14"/>
    </x:row>
    <x:row r="76" ht="80" customHeight="1">
      <x:c r="A76" s="15"/>
      <x:c r="B76" s="15"/>
      <x:c r="C76" s="15"/>
      <x:c r="D76" s="16"/>
      <x:c r="E76" s="14"/>
      <x:c r="F76" s="14"/>
      <x:c r="G76" s="18"/>
      <x:c r="H76" s="17"/>
      <x:c r="I76" s="17"/>
      <x:c r="J76" s="17"/>
      <x:c r="K76" s="17"/>
      <x:c r="L76" s="14"/>
      <x:c r="M76" s="16"/>
      <x:c r="N76" s="14"/>
      <x:c r="O76" s="14"/>
      <x:c r="P76" s="18"/>
      <x:c r="Q76" s="15"/>
      <x:c r="R76" s="20" t="str">
        <x:f>IF(E76="","",IF(L76="Cancelado",0,IF(G76="",1,G76)*H76+I76-J76))</x:f>
      </x:c>
      <x:c r="S76" s="20" t="str">
        <x:f>IF(E76="","",SUMIFS('Pagos'!$D$2:$D$3001,'Pagos'!$B$2:$B$3001,A76,'Pagos'!$C$2:$C$3001,"Abono")-SUMIFS('Pagos'!$D$2:$D$3001,'Pagos'!$B$2:$B$3001,A76,'Pagos'!$C$2:$C$3001,"Devolución"))</x:f>
      </x:c>
      <x:c r="T76" s="20" t="str">
        <x:f>IF(E76="","",R76-S76)</x:f>
      </x:c>
      <x:c r="U76" s="14"/>
    </x:row>
    <x:row r="77" ht="80" customHeight="1">
      <x:c r="A77" s="15"/>
      <x:c r="B77" s="15"/>
      <x:c r="C77" s="15"/>
      <x:c r="D77" s="16"/>
      <x:c r="E77" s="14"/>
      <x:c r="F77" s="14"/>
      <x:c r="G77" s="18"/>
      <x:c r="H77" s="17"/>
      <x:c r="I77" s="17"/>
      <x:c r="J77" s="17"/>
      <x:c r="K77" s="17"/>
      <x:c r="L77" s="14"/>
      <x:c r="M77" s="16"/>
      <x:c r="N77" s="14"/>
      <x:c r="O77" s="14"/>
      <x:c r="P77" s="18"/>
      <x:c r="Q77" s="15"/>
      <x:c r="R77" s="20" t="str">
        <x:f>IF(E77="","",IF(L77="Cancelado",0,IF(G77="",1,G77)*H77+I77-J77))</x:f>
      </x:c>
      <x:c r="S77" s="20" t="str">
        <x:f>IF(E77="","",SUMIFS('Pagos'!$D$2:$D$3001,'Pagos'!$B$2:$B$3001,A77,'Pagos'!$C$2:$C$3001,"Abono")-SUMIFS('Pagos'!$D$2:$D$3001,'Pagos'!$B$2:$B$3001,A77,'Pagos'!$C$2:$C$3001,"Devolución"))</x:f>
      </x:c>
      <x:c r="T77" s="20" t="str">
        <x:f>IF(E77="","",R77-S77)</x:f>
      </x:c>
      <x:c r="U77" s="14"/>
    </x:row>
    <x:row r="78" ht="80" customHeight="1">
      <x:c r="A78" s="15"/>
      <x:c r="B78" s="15"/>
      <x:c r="C78" s="15"/>
      <x:c r="D78" s="16"/>
      <x:c r="E78" s="14"/>
      <x:c r="F78" s="14"/>
      <x:c r="G78" s="18"/>
      <x:c r="H78" s="17"/>
      <x:c r="I78" s="17"/>
      <x:c r="J78" s="17"/>
      <x:c r="K78" s="17"/>
      <x:c r="L78" s="14"/>
      <x:c r="M78" s="16"/>
      <x:c r="N78" s="14"/>
      <x:c r="O78" s="14"/>
      <x:c r="P78" s="18"/>
      <x:c r="Q78" s="15"/>
      <x:c r="R78" s="20" t="str">
        <x:f>IF(E78="","",IF(L78="Cancelado",0,IF(G78="",1,G78)*H78+I78-J78))</x:f>
      </x:c>
      <x:c r="S78" s="20" t="str">
        <x:f>IF(E78="","",SUMIFS('Pagos'!$D$2:$D$3001,'Pagos'!$B$2:$B$3001,A78,'Pagos'!$C$2:$C$3001,"Abono")-SUMIFS('Pagos'!$D$2:$D$3001,'Pagos'!$B$2:$B$3001,A78,'Pagos'!$C$2:$C$3001,"Devolución"))</x:f>
      </x:c>
      <x:c r="T78" s="20" t="str">
        <x:f>IF(E78="","",R78-S78)</x:f>
      </x:c>
      <x:c r="U78" s="14"/>
    </x:row>
    <x:row r="79" ht="80" customHeight="1">
      <x:c r="A79" s="15"/>
      <x:c r="B79" s="15"/>
      <x:c r="C79" s="15"/>
      <x:c r="D79" s="16"/>
      <x:c r="E79" s="14"/>
      <x:c r="F79" s="14"/>
      <x:c r="G79" s="18"/>
      <x:c r="H79" s="17"/>
      <x:c r="I79" s="17"/>
      <x:c r="J79" s="17"/>
      <x:c r="K79" s="17"/>
      <x:c r="L79" s="14"/>
      <x:c r="M79" s="16"/>
      <x:c r="N79" s="14"/>
      <x:c r="O79" s="14"/>
      <x:c r="P79" s="18"/>
      <x:c r="Q79" s="15"/>
      <x:c r="R79" s="20" t="str">
        <x:f>IF(E79="","",IF(L79="Cancelado",0,IF(G79="",1,G79)*H79+I79-J79))</x:f>
      </x:c>
      <x:c r="S79" s="20" t="str">
        <x:f>IF(E79="","",SUMIFS('Pagos'!$D$2:$D$3001,'Pagos'!$B$2:$B$3001,A79,'Pagos'!$C$2:$C$3001,"Abono")-SUMIFS('Pagos'!$D$2:$D$3001,'Pagos'!$B$2:$B$3001,A79,'Pagos'!$C$2:$C$3001,"Devolución"))</x:f>
      </x:c>
      <x:c r="T79" s="20" t="str">
        <x:f>IF(E79="","",R79-S79)</x:f>
      </x:c>
      <x:c r="U79" s="14"/>
    </x:row>
    <x:row r="80" ht="80" customHeight="1">
      <x:c r="A80" s="15"/>
      <x:c r="B80" s="15"/>
      <x:c r="C80" s="15"/>
      <x:c r="D80" s="16"/>
      <x:c r="E80" s="14"/>
      <x:c r="F80" s="14"/>
      <x:c r="G80" s="18"/>
      <x:c r="H80" s="17"/>
      <x:c r="I80" s="17"/>
      <x:c r="J80" s="17"/>
      <x:c r="K80" s="17"/>
      <x:c r="L80" s="14"/>
      <x:c r="M80" s="16"/>
      <x:c r="N80" s="14"/>
      <x:c r="O80" s="14"/>
      <x:c r="P80" s="18"/>
      <x:c r="Q80" s="15"/>
      <x:c r="R80" s="20" t="str">
        <x:f>IF(E80="","",IF(L80="Cancelado",0,IF(G80="",1,G80)*H80+I80-J80))</x:f>
      </x:c>
      <x:c r="S80" s="20" t="str">
        <x:f>IF(E80="","",SUMIFS('Pagos'!$D$2:$D$3001,'Pagos'!$B$2:$B$3001,A80,'Pagos'!$C$2:$C$3001,"Abono")-SUMIFS('Pagos'!$D$2:$D$3001,'Pagos'!$B$2:$B$3001,A80,'Pagos'!$C$2:$C$3001,"Devolución"))</x:f>
      </x:c>
      <x:c r="T80" s="20" t="str">
        <x:f>IF(E80="","",R80-S80)</x:f>
      </x:c>
      <x:c r="U80" s="14"/>
    </x:row>
    <x:row r="81" ht="80" customHeight="1">
      <x:c r="A81" s="15"/>
      <x:c r="B81" s="15"/>
      <x:c r="C81" s="15"/>
      <x:c r="D81" s="16"/>
      <x:c r="E81" s="14"/>
      <x:c r="F81" s="14"/>
      <x:c r="G81" s="18"/>
      <x:c r="H81" s="17"/>
      <x:c r="I81" s="17"/>
      <x:c r="J81" s="17"/>
      <x:c r="K81" s="17"/>
      <x:c r="L81" s="14"/>
      <x:c r="M81" s="16"/>
      <x:c r="N81" s="14"/>
      <x:c r="O81" s="14"/>
      <x:c r="P81" s="18"/>
      <x:c r="Q81" s="15"/>
      <x:c r="R81" s="20" t="str">
        <x:f>IF(E81="","",IF(L81="Cancelado",0,IF(G81="",1,G81)*H81+I81-J81))</x:f>
      </x:c>
      <x:c r="S81" s="20" t="str">
        <x:f>IF(E81="","",SUMIFS('Pagos'!$D$2:$D$3001,'Pagos'!$B$2:$B$3001,A81,'Pagos'!$C$2:$C$3001,"Abono")-SUMIFS('Pagos'!$D$2:$D$3001,'Pagos'!$B$2:$B$3001,A81,'Pagos'!$C$2:$C$3001,"Devolución"))</x:f>
      </x:c>
      <x:c r="T81" s="20" t="str">
        <x:f>IF(E81="","",R81-S81)</x:f>
      </x:c>
      <x:c r="U81" s="14"/>
    </x:row>
    <x:row r="82" ht="80" customHeight="1">
      <x:c r="A82" s="15"/>
      <x:c r="B82" s="15"/>
      <x:c r="C82" s="15"/>
      <x:c r="D82" s="16"/>
      <x:c r="E82" s="14"/>
      <x:c r="F82" s="14"/>
      <x:c r="G82" s="18"/>
      <x:c r="H82" s="17"/>
      <x:c r="I82" s="17"/>
      <x:c r="J82" s="17"/>
      <x:c r="K82" s="17"/>
      <x:c r="L82" s="14"/>
      <x:c r="M82" s="16"/>
      <x:c r="N82" s="14"/>
      <x:c r="O82" s="14"/>
      <x:c r="P82" s="18"/>
      <x:c r="Q82" s="15"/>
      <x:c r="R82" s="20" t="str">
        <x:f>IF(E82="","",IF(L82="Cancelado",0,IF(G82="",1,G82)*H82+I82-J82))</x:f>
      </x:c>
      <x:c r="S82" s="20" t="str">
        <x:f>IF(E82="","",SUMIFS('Pagos'!$D$2:$D$3001,'Pagos'!$B$2:$B$3001,A82,'Pagos'!$C$2:$C$3001,"Abono")-SUMIFS('Pagos'!$D$2:$D$3001,'Pagos'!$B$2:$B$3001,A82,'Pagos'!$C$2:$C$3001,"Devolución"))</x:f>
      </x:c>
      <x:c r="T82" s="20" t="str">
        <x:f>IF(E82="","",R82-S82)</x:f>
      </x:c>
      <x:c r="U82" s="14"/>
    </x:row>
    <x:row r="83" ht="80" customHeight="1">
      <x:c r="A83" s="15"/>
      <x:c r="B83" s="15"/>
      <x:c r="C83" s="15"/>
      <x:c r="D83" s="16"/>
      <x:c r="E83" s="14"/>
      <x:c r="F83" s="14"/>
      <x:c r="G83" s="18"/>
      <x:c r="H83" s="17"/>
      <x:c r="I83" s="17"/>
      <x:c r="J83" s="17"/>
      <x:c r="K83" s="17"/>
      <x:c r="L83" s="14"/>
      <x:c r="M83" s="16"/>
      <x:c r="N83" s="14"/>
      <x:c r="O83" s="14"/>
      <x:c r="P83" s="18"/>
      <x:c r="Q83" s="15"/>
      <x:c r="R83" s="20" t="str">
        <x:f>IF(E83="","",IF(L83="Cancelado",0,IF(G83="",1,G83)*H83+I83-J83))</x:f>
      </x:c>
      <x:c r="S83" s="20" t="str">
        <x:f>IF(E83="","",SUMIFS('Pagos'!$D$2:$D$3001,'Pagos'!$B$2:$B$3001,A83,'Pagos'!$C$2:$C$3001,"Abono")-SUMIFS('Pagos'!$D$2:$D$3001,'Pagos'!$B$2:$B$3001,A83,'Pagos'!$C$2:$C$3001,"Devolución"))</x:f>
      </x:c>
      <x:c r="T83" s="20" t="str">
        <x:f>IF(E83="","",R83-S83)</x:f>
      </x:c>
      <x:c r="U83" s="14"/>
    </x:row>
    <x:row r="84" ht="80" customHeight="1">
      <x:c r="A84" s="15"/>
      <x:c r="B84" s="15"/>
      <x:c r="C84" s="15"/>
      <x:c r="D84" s="16"/>
      <x:c r="E84" s="14"/>
      <x:c r="F84" s="14"/>
      <x:c r="G84" s="18"/>
      <x:c r="H84" s="17"/>
      <x:c r="I84" s="17"/>
      <x:c r="J84" s="17"/>
      <x:c r="K84" s="17"/>
      <x:c r="L84" s="14"/>
      <x:c r="M84" s="16"/>
      <x:c r="N84" s="14"/>
      <x:c r="O84" s="14"/>
      <x:c r="P84" s="18"/>
      <x:c r="Q84" s="15"/>
      <x:c r="R84" s="20" t="str">
        <x:f>IF(E84="","",IF(L84="Cancelado",0,IF(G84="",1,G84)*H84+I84-J84))</x:f>
      </x:c>
      <x:c r="S84" s="20" t="str">
        <x:f>IF(E84="","",SUMIFS('Pagos'!$D$2:$D$3001,'Pagos'!$B$2:$B$3001,A84,'Pagos'!$C$2:$C$3001,"Abono")-SUMIFS('Pagos'!$D$2:$D$3001,'Pagos'!$B$2:$B$3001,A84,'Pagos'!$C$2:$C$3001,"Devolución"))</x:f>
      </x:c>
      <x:c r="T84" s="20" t="str">
        <x:f>IF(E84="","",R84-S84)</x:f>
      </x:c>
      <x:c r="U84" s="14"/>
    </x:row>
    <x:row r="85" ht="80" customHeight="1">
      <x:c r="A85" s="15"/>
      <x:c r="B85" s="15"/>
      <x:c r="C85" s="15"/>
      <x:c r="D85" s="16"/>
      <x:c r="E85" s="14"/>
      <x:c r="F85" s="14"/>
      <x:c r="G85" s="18"/>
      <x:c r="H85" s="17"/>
      <x:c r="I85" s="17"/>
      <x:c r="J85" s="17"/>
      <x:c r="K85" s="17"/>
      <x:c r="L85" s="14"/>
      <x:c r="M85" s="16"/>
      <x:c r="N85" s="14"/>
      <x:c r="O85" s="14"/>
      <x:c r="P85" s="18"/>
      <x:c r="Q85" s="15"/>
      <x:c r="R85" s="20" t="str">
        <x:f>IF(E85="","",IF(L85="Cancelado",0,IF(G85="",1,G85)*H85+I85-J85))</x:f>
      </x:c>
      <x:c r="S85" s="20" t="str">
        <x:f>IF(E85="","",SUMIFS('Pagos'!$D$2:$D$3001,'Pagos'!$B$2:$B$3001,A85,'Pagos'!$C$2:$C$3001,"Abono")-SUMIFS('Pagos'!$D$2:$D$3001,'Pagos'!$B$2:$B$3001,A85,'Pagos'!$C$2:$C$3001,"Devolución"))</x:f>
      </x:c>
      <x:c r="T85" s="20" t="str">
        <x:f>IF(E85="","",R85-S85)</x:f>
      </x:c>
      <x:c r="U85" s="14"/>
    </x:row>
    <x:row r="86" ht="80" customHeight="1">
      <x:c r="A86" s="15"/>
      <x:c r="B86" s="15"/>
      <x:c r="C86" s="15"/>
      <x:c r="D86" s="16"/>
      <x:c r="E86" s="14"/>
      <x:c r="F86" s="14"/>
      <x:c r="G86" s="18"/>
      <x:c r="H86" s="17"/>
      <x:c r="I86" s="17"/>
      <x:c r="J86" s="17"/>
      <x:c r="K86" s="17"/>
      <x:c r="L86" s="14"/>
      <x:c r="M86" s="16"/>
      <x:c r="N86" s="14"/>
      <x:c r="O86" s="14"/>
      <x:c r="P86" s="18"/>
      <x:c r="Q86" s="15"/>
      <x:c r="R86" s="20" t="str">
        <x:f>IF(E86="","",IF(L86="Cancelado",0,IF(G86="",1,G86)*H86+I86-J86))</x:f>
      </x:c>
      <x:c r="S86" s="20" t="str">
        <x:f>IF(E86="","",SUMIFS('Pagos'!$D$2:$D$3001,'Pagos'!$B$2:$B$3001,A86,'Pagos'!$C$2:$C$3001,"Abono")-SUMIFS('Pagos'!$D$2:$D$3001,'Pagos'!$B$2:$B$3001,A86,'Pagos'!$C$2:$C$3001,"Devolución"))</x:f>
      </x:c>
      <x:c r="T86" s="20" t="str">
        <x:f>IF(E86="","",R86-S86)</x:f>
      </x:c>
      <x:c r="U86" s="14"/>
    </x:row>
    <x:row r="87" ht="80" customHeight="1">
      <x:c r="A87" s="15"/>
      <x:c r="B87" s="15"/>
      <x:c r="C87" s="15"/>
      <x:c r="D87" s="16"/>
      <x:c r="E87" s="14"/>
      <x:c r="F87" s="14"/>
      <x:c r="G87" s="18"/>
      <x:c r="H87" s="17"/>
      <x:c r="I87" s="17"/>
      <x:c r="J87" s="17"/>
      <x:c r="K87" s="17"/>
      <x:c r="L87" s="14"/>
      <x:c r="M87" s="16"/>
      <x:c r="N87" s="14"/>
      <x:c r="O87" s="14"/>
      <x:c r="P87" s="18"/>
      <x:c r="Q87" s="15"/>
      <x:c r="R87" s="20" t="str">
        <x:f>IF(E87="","",IF(L87="Cancelado",0,IF(G87="",1,G87)*H87+I87-J87))</x:f>
      </x:c>
      <x:c r="S87" s="20" t="str">
        <x:f>IF(E87="","",SUMIFS('Pagos'!$D$2:$D$3001,'Pagos'!$B$2:$B$3001,A87,'Pagos'!$C$2:$C$3001,"Abono")-SUMIFS('Pagos'!$D$2:$D$3001,'Pagos'!$B$2:$B$3001,A87,'Pagos'!$C$2:$C$3001,"Devolución"))</x:f>
      </x:c>
      <x:c r="T87" s="20" t="str">
        <x:f>IF(E87="","",R87-S87)</x:f>
      </x:c>
      <x:c r="U87" s="14"/>
    </x:row>
    <x:row r="88" ht="80" customHeight="1">
      <x:c r="A88" s="15"/>
      <x:c r="B88" s="15"/>
      <x:c r="C88" s="15"/>
      <x:c r="D88" s="16"/>
      <x:c r="E88" s="14"/>
      <x:c r="F88" s="14"/>
      <x:c r="G88" s="18"/>
      <x:c r="H88" s="17"/>
      <x:c r="I88" s="17"/>
      <x:c r="J88" s="17"/>
      <x:c r="K88" s="17"/>
      <x:c r="L88" s="14"/>
      <x:c r="M88" s="16"/>
      <x:c r="N88" s="14"/>
      <x:c r="O88" s="14"/>
      <x:c r="P88" s="18"/>
      <x:c r="Q88" s="15"/>
      <x:c r="R88" s="20" t="str">
        <x:f>IF(E88="","",IF(L88="Cancelado",0,IF(G88="",1,G88)*H88+I88-J88))</x:f>
      </x:c>
      <x:c r="S88" s="20" t="str">
        <x:f>IF(E88="","",SUMIFS('Pagos'!$D$2:$D$3001,'Pagos'!$B$2:$B$3001,A88,'Pagos'!$C$2:$C$3001,"Abono")-SUMIFS('Pagos'!$D$2:$D$3001,'Pagos'!$B$2:$B$3001,A88,'Pagos'!$C$2:$C$3001,"Devolución"))</x:f>
      </x:c>
      <x:c r="T88" s="20" t="str">
        <x:f>IF(E88="","",R88-S88)</x:f>
      </x:c>
      <x:c r="U88" s="14"/>
    </x:row>
    <x:row r="89" ht="80" customHeight="1">
      <x:c r="A89" s="15"/>
      <x:c r="B89" s="15"/>
      <x:c r="C89" s="15"/>
      <x:c r="D89" s="16"/>
      <x:c r="E89" s="14"/>
      <x:c r="F89" s="14"/>
      <x:c r="G89" s="18"/>
      <x:c r="H89" s="17"/>
      <x:c r="I89" s="17"/>
      <x:c r="J89" s="17"/>
      <x:c r="K89" s="17"/>
      <x:c r="L89" s="14"/>
      <x:c r="M89" s="16"/>
      <x:c r="N89" s="14"/>
      <x:c r="O89" s="14"/>
      <x:c r="P89" s="18"/>
      <x:c r="Q89" s="15"/>
      <x:c r="R89" s="20" t="str">
        <x:f>IF(E89="","",IF(L89="Cancelado",0,IF(G89="",1,G89)*H89+I89-J89))</x:f>
      </x:c>
      <x:c r="S89" s="20" t="str">
        <x:f>IF(E89="","",SUMIFS('Pagos'!$D$2:$D$3001,'Pagos'!$B$2:$B$3001,A89,'Pagos'!$C$2:$C$3001,"Abono")-SUMIFS('Pagos'!$D$2:$D$3001,'Pagos'!$B$2:$B$3001,A89,'Pagos'!$C$2:$C$3001,"Devolución"))</x:f>
      </x:c>
      <x:c r="T89" s="20" t="str">
        <x:f>IF(E89="","",R89-S89)</x:f>
      </x:c>
      <x:c r="U89" s="14"/>
    </x:row>
    <x:row r="90" ht="80" customHeight="1">
      <x:c r="A90" s="15"/>
      <x:c r="B90" s="15"/>
      <x:c r="C90" s="15"/>
      <x:c r="D90" s="16"/>
      <x:c r="E90" s="14"/>
      <x:c r="F90" s="14"/>
      <x:c r="G90" s="18"/>
      <x:c r="H90" s="17"/>
      <x:c r="I90" s="17"/>
      <x:c r="J90" s="17"/>
      <x:c r="K90" s="17"/>
      <x:c r="L90" s="14"/>
      <x:c r="M90" s="16"/>
      <x:c r="N90" s="14"/>
      <x:c r="O90" s="14"/>
      <x:c r="P90" s="18"/>
      <x:c r="Q90" s="15"/>
      <x:c r="R90" s="20" t="str">
        <x:f>IF(E90="","",IF(L90="Cancelado",0,IF(G90="",1,G90)*H90+I90-J90))</x:f>
      </x:c>
      <x:c r="S90" s="20" t="str">
        <x:f>IF(E90="","",SUMIFS('Pagos'!$D$2:$D$3001,'Pagos'!$B$2:$B$3001,A90,'Pagos'!$C$2:$C$3001,"Abono")-SUMIFS('Pagos'!$D$2:$D$3001,'Pagos'!$B$2:$B$3001,A90,'Pagos'!$C$2:$C$3001,"Devolución"))</x:f>
      </x:c>
      <x:c r="T90" s="20" t="str">
        <x:f>IF(E90="","",R90-S90)</x:f>
      </x:c>
      <x:c r="U90" s="14"/>
    </x:row>
    <x:row r="91" ht="80" customHeight="1">
      <x:c r="A91" s="15"/>
      <x:c r="B91" s="15"/>
      <x:c r="C91" s="15"/>
      <x:c r="D91" s="16"/>
      <x:c r="E91" s="14"/>
      <x:c r="F91" s="14"/>
      <x:c r="G91" s="18"/>
      <x:c r="H91" s="17"/>
      <x:c r="I91" s="17"/>
      <x:c r="J91" s="17"/>
      <x:c r="K91" s="17"/>
      <x:c r="L91" s="14"/>
      <x:c r="M91" s="16"/>
      <x:c r="N91" s="14"/>
      <x:c r="O91" s="14"/>
      <x:c r="P91" s="18"/>
      <x:c r="Q91" s="15"/>
      <x:c r="R91" s="20" t="str">
        <x:f>IF(E91="","",IF(L91="Cancelado",0,IF(G91="",1,G91)*H91+I91-J91))</x:f>
      </x:c>
      <x:c r="S91" s="20" t="str">
        <x:f>IF(E91="","",SUMIFS('Pagos'!$D$2:$D$3001,'Pagos'!$B$2:$B$3001,A91,'Pagos'!$C$2:$C$3001,"Abono")-SUMIFS('Pagos'!$D$2:$D$3001,'Pagos'!$B$2:$B$3001,A91,'Pagos'!$C$2:$C$3001,"Devolución"))</x:f>
      </x:c>
      <x:c r="T91" s="20" t="str">
        <x:f>IF(E91="","",R91-S91)</x:f>
      </x:c>
      <x:c r="U91" s="14"/>
    </x:row>
    <x:row r="92" ht="80" customHeight="1">
      <x:c r="A92" s="15"/>
      <x:c r="B92" s="15"/>
      <x:c r="C92" s="15"/>
      <x:c r="D92" s="16"/>
      <x:c r="E92" s="14"/>
      <x:c r="F92" s="14"/>
      <x:c r="G92" s="18"/>
      <x:c r="H92" s="17"/>
      <x:c r="I92" s="17"/>
      <x:c r="J92" s="17"/>
      <x:c r="K92" s="17"/>
      <x:c r="L92" s="14"/>
      <x:c r="M92" s="16"/>
      <x:c r="N92" s="14"/>
      <x:c r="O92" s="14"/>
      <x:c r="P92" s="18"/>
      <x:c r="Q92" s="15"/>
      <x:c r="R92" s="20" t="str">
        <x:f>IF(E92="","",IF(L92="Cancelado",0,IF(G92="",1,G92)*H92+I92-J92))</x:f>
      </x:c>
      <x:c r="S92" s="20" t="str">
        <x:f>IF(E92="","",SUMIFS('Pagos'!$D$2:$D$3001,'Pagos'!$B$2:$B$3001,A92,'Pagos'!$C$2:$C$3001,"Abono")-SUMIFS('Pagos'!$D$2:$D$3001,'Pagos'!$B$2:$B$3001,A92,'Pagos'!$C$2:$C$3001,"Devolución"))</x:f>
      </x:c>
      <x:c r="T92" s="20" t="str">
        <x:f>IF(E92="","",R92-S92)</x:f>
      </x:c>
      <x:c r="U92" s="14"/>
    </x:row>
    <x:row r="93" ht="80" customHeight="1">
      <x:c r="A93" s="15"/>
      <x:c r="B93" s="15"/>
      <x:c r="C93" s="15"/>
      <x:c r="D93" s="16"/>
      <x:c r="E93" s="14"/>
      <x:c r="F93" s="14"/>
      <x:c r="G93" s="18"/>
      <x:c r="H93" s="17"/>
      <x:c r="I93" s="17"/>
      <x:c r="J93" s="17"/>
      <x:c r="K93" s="17"/>
      <x:c r="L93" s="14"/>
      <x:c r="M93" s="16"/>
      <x:c r="N93" s="14"/>
      <x:c r="O93" s="14"/>
      <x:c r="P93" s="18"/>
      <x:c r="Q93" s="15"/>
      <x:c r="R93" s="20" t="str">
        <x:f>IF(E93="","",IF(L93="Cancelado",0,IF(G93="",1,G93)*H93+I93-J93))</x:f>
      </x:c>
      <x:c r="S93" s="20" t="str">
        <x:f>IF(E93="","",SUMIFS('Pagos'!$D$2:$D$3001,'Pagos'!$B$2:$B$3001,A93,'Pagos'!$C$2:$C$3001,"Abono")-SUMIFS('Pagos'!$D$2:$D$3001,'Pagos'!$B$2:$B$3001,A93,'Pagos'!$C$2:$C$3001,"Devolución"))</x:f>
      </x:c>
      <x:c r="T93" s="20" t="str">
        <x:f>IF(E93="","",R93-S93)</x:f>
      </x:c>
      <x:c r="U93" s="14"/>
    </x:row>
    <x:row r="94" ht="80" customHeight="1">
      <x:c r="A94" s="15"/>
      <x:c r="B94" s="15"/>
      <x:c r="C94" s="15"/>
      <x:c r="D94" s="16"/>
      <x:c r="E94" s="14"/>
      <x:c r="F94" s="14"/>
      <x:c r="G94" s="18"/>
      <x:c r="H94" s="17"/>
      <x:c r="I94" s="17"/>
      <x:c r="J94" s="17"/>
      <x:c r="K94" s="17"/>
      <x:c r="L94" s="14"/>
      <x:c r="M94" s="16"/>
      <x:c r="N94" s="14"/>
      <x:c r="O94" s="14"/>
      <x:c r="P94" s="18"/>
      <x:c r="Q94" s="15"/>
      <x:c r="R94" s="20" t="str">
        <x:f>IF(E94="","",IF(L94="Cancelado",0,IF(G94="",1,G94)*H94+I94-J94))</x:f>
      </x:c>
      <x:c r="S94" s="20" t="str">
        <x:f>IF(E94="","",SUMIFS('Pagos'!$D$2:$D$3001,'Pagos'!$B$2:$B$3001,A94,'Pagos'!$C$2:$C$3001,"Abono")-SUMIFS('Pagos'!$D$2:$D$3001,'Pagos'!$B$2:$B$3001,A94,'Pagos'!$C$2:$C$3001,"Devolución"))</x:f>
      </x:c>
      <x:c r="T94" s="20" t="str">
        <x:f>IF(E94="","",R94-S94)</x:f>
      </x:c>
      <x:c r="U94" s="14"/>
    </x:row>
    <x:row r="95" ht="80" customHeight="1">
      <x:c r="A95" s="15"/>
      <x:c r="B95" s="15"/>
      <x:c r="C95" s="15"/>
      <x:c r="D95" s="16"/>
      <x:c r="E95" s="14"/>
      <x:c r="F95" s="14"/>
      <x:c r="G95" s="18"/>
      <x:c r="H95" s="17"/>
      <x:c r="I95" s="17"/>
      <x:c r="J95" s="17"/>
      <x:c r="K95" s="17"/>
      <x:c r="L95" s="14"/>
      <x:c r="M95" s="16"/>
      <x:c r="N95" s="14"/>
      <x:c r="O95" s="14"/>
      <x:c r="P95" s="18"/>
      <x:c r="Q95" s="15"/>
      <x:c r="R95" s="20" t="str">
        <x:f>IF(E95="","",IF(L95="Cancelado",0,IF(G95="",1,G95)*H95+I95-J95))</x:f>
      </x:c>
      <x:c r="S95" s="20" t="str">
        <x:f>IF(E95="","",SUMIFS('Pagos'!$D$2:$D$3001,'Pagos'!$B$2:$B$3001,A95,'Pagos'!$C$2:$C$3001,"Abono")-SUMIFS('Pagos'!$D$2:$D$3001,'Pagos'!$B$2:$B$3001,A95,'Pagos'!$C$2:$C$3001,"Devolución"))</x:f>
      </x:c>
      <x:c r="T95" s="20" t="str">
        <x:f>IF(E95="","",R95-S95)</x:f>
      </x:c>
      <x:c r="U95" s="14"/>
    </x:row>
    <x:row r="96" ht="80" customHeight="1">
      <x:c r="A96" s="15"/>
      <x:c r="B96" s="15"/>
      <x:c r="C96" s="15"/>
      <x:c r="D96" s="16"/>
      <x:c r="E96" s="14"/>
      <x:c r="F96" s="14"/>
      <x:c r="G96" s="18"/>
      <x:c r="H96" s="17"/>
      <x:c r="I96" s="17"/>
      <x:c r="J96" s="17"/>
      <x:c r="K96" s="17"/>
      <x:c r="L96" s="14"/>
      <x:c r="M96" s="16"/>
      <x:c r="N96" s="14"/>
      <x:c r="O96" s="14"/>
      <x:c r="P96" s="18"/>
      <x:c r="Q96" s="15"/>
      <x:c r="R96" s="20" t="str">
        <x:f>IF(E96="","",IF(L96="Cancelado",0,IF(G96="",1,G96)*H96+I96-J96))</x:f>
      </x:c>
      <x:c r="S96" s="20" t="str">
        <x:f>IF(E96="","",SUMIFS('Pagos'!$D$2:$D$3001,'Pagos'!$B$2:$B$3001,A96,'Pagos'!$C$2:$C$3001,"Abono")-SUMIFS('Pagos'!$D$2:$D$3001,'Pagos'!$B$2:$B$3001,A96,'Pagos'!$C$2:$C$3001,"Devolución"))</x:f>
      </x:c>
      <x:c r="T96" s="20" t="str">
        <x:f>IF(E96="","",R96-S96)</x:f>
      </x:c>
      <x:c r="U96" s="14"/>
    </x:row>
    <x:row r="97" ht="80" customHeight="1">
      <x:c r="A97" s="15"/>
      <x:c r="B97" s="15"/>
      <x:c r="C97" s="15"/>
      <x:c r="D97" s="16"/>
      <x:c r="E97" s="14"/>
      <x:c r="F97" s="14"/>
      <x:c r="G97" s="18"/>
      <x:c r="H97" s="17"/>
      <x:c r="I97" s="17"/>
      <x:c r="J97" s="17"/>
      <x:c r="K97" s="17"/>
      <x:c r="L97" s="14"/>
      <x:c r="M97" s="16"/>
      <x:c r="N97" s="14"/>
      <x:c r="O97" s="14"/>
      <x:c r="P97" s="18"/>
      <x:c r="Q97" s="15"/>
      <x:c r="R97" s="20" t="str">
        <x:f>IF(E97="","",IF(L97="Cancelado",0,IF(G97="",1,G97)*H97+I97-J97))</x:f>
      </x:c>
      <x:c r="S97" s="20" t="str">
        <x:f>IF(E97="","",SUMIFS('Pagos'!$D$2:$D$3001,'Pagos'!$B$2:$B$3001,A97,'Pagos'!$C$2:$C$3001,"Abono")-SUMIFS('Pagos'!$D$2:$D$3001,'Pagos'!$B$2:$B$3001,A97,'Pagos'!$C$2:$C$3001,"Devolución"))</x:f>
      </x:c>
      <x:c r="T97" s="20" t="str">
        <x:f>IF(E97="","",R97-S97)</x:f>
      </x:c>
      <x:c r="U97" s="14"/>
    </x:row>
    <x:row r="98" ht="80" customHeight="1">
      <x:c r="A98" s="15"/>
      <x:c r="B98" s="15"/>
      <x:c r="C98" s="15"/>
      <x:c r="D98" s="16"/>
      <x:c r="E98" s="14"/>
      <x:c r="F98" s="14"/>
      <x:c r="G98" s="18"/>
      <x:c r="H98" s="17"/>
      <x:c r="I98" s="17"/>
      <x:c r="J98" s="17"/>
      <x:c r="K98" s="17"/>
      <x:c r="L98" s="14"/>
      <x:c r="M98" s="16"/>
      <x:c r="N98" s="14"/>
      <x:c r="O98" s="14"/>
      <x:c r="P98" s="18"/>
      <x:c r="Q98" s="15"/>
      <x:c r="R98" s="20" t="str">
        <x:f>IF(E98="","",IF(L98="Cancelado",0,IF(G98="",1,G98)*H98+I98-J98))</x:f>
      </x:c>
      <x:c r="S98" s="20" t="str">
        <x:f>IF(E98="","",SUMIFS('Pagos'!$D$2:$D$3001,'Pagos'!$B$2:$B$3001,A98,'Pagos'!$C$2:$C$3001,"Abono")-SUMIFS('Pagos'!$D$2:$D$3001,'Pagos'!$B$2:$B$3001,A98,'Pagos'!$C$2:$C$3001,"Devolución"))</x:f>
      </x:c>
      <x:c r="T98" s="20" t="str">
        <x:f>IF(E98="","",R98-S98)</x:f>
      </x:c>
      <x:c r="U98" s="14"/>
    </x:row>
    <x:row r="99" ht="80" customHeight="1">
      <x:c r="A99" s="15"/>
      <x:c r="B99" s="15"/>
      <x:c r="C99" s="15"/>
      <x:c r="D99" s="16"/>
      <x:c r="E99" s="14"/>
      <x:c r="F99" s="14"/>
      <x:c r="G99" s="18"/>
      <x:c r="H99" s="17"/>
      <x:c r="I99" s="17"/>
      <x:c r="J99" s="17"/>
      <x:c r="K99" s="17"/>
      <x:c r="L99" s="14"/>
      <x:c r="M99" s="16"/>
      <x:c r="N99" s="14"/>
      <x:c r="O99" s="14"/>
      <x:c r="P99" s="18"/>
      <x:c r="Q99" s="15"/>
      <x:c r="R99" s="20" t="str">
        <x:f>IF(E99="","",IF(L99="Cancelado",0,IF(G99="",1,G99)*H99+I99-J99))</x:f>
      </x:c>
      <x:c r="S99" s="20" t="str">
        <x:f>IF(E99="","",SUMIFS('Pagos'!$D$2:$D$3001,'Pagos'!$B$2:$B$3001,A99,'Pagos'!$C$2:$C$3001,"Abono")-SUMIFS('Pagos'!$D$2:$D$3001,'Pagos'!$B$2:$B$3001,A99,'Pagos'!$C$2:$C$3001,"Devolución"))</x:f>
      </x:c>
      <x:c r="T99" s="20" t="str">
        <x:f>IF(E99="","",R99-S99)</x:f>
      </x:c>
      <x:c r="U99" s="14"/>
    </x:row>
    <x:row r="100" ht="80" customHeight="1">
      <x:c r="A100" s="15"/>
      <x:c r="B100" s="15"/>
      <x:c r="C100" s="15"/>
      <x:c r="D100" s="16"/>
      <x:c r="E100" s="14"/>
      <x:c r="F100" s="14"/>
      <x:c r="G100" s="18"/>
      <x:c r="H100" s="17"/>
      <x:c r="I100" s="17"/>
      <x:c r="J100" s="17"/>
      <x:c r="K100" s="17"/>
      <x:c r="L100" s="14"/>
      <x:c r="M100" s="16"/>
      <x:c r="N100" s="14"/>
      <x:c r="O100" s="14"/>
      <x:c r="P100" s="18"/>
      <x:c r="Q100" s="15"/>
      <x:c r="R100" s="20" t="str">
        <x:f>IF(E100="","",IF(L100="Cancelado",0,IF(G100="",1,G100)*H100+I100-J100))</x:f>
      </x:c>
      <x:c r="S100" s="20" t="str">
        <x:f>IF(E100="","",SUMIFS('Pagos'!$D$2:$D$3001,'Pagos'!$B$2:$B$3001,A100,'Pagos'!$C$2:$C$3001,"Abono")-SUMIFS('Pagos'!$D$2:$D$3001,'Pagos'!$B$2:$B$3001,A100,'Pagos'!$C$2:$C$3001,"Devolución"))</x:f>
      </x:c>
      <x:c r="T100" s="20" t="str">
        <x:f>IF(E100="","",R100-S100)</x:f>
      </x:c>
      <x:c r="U100" s="14"/>
    </x:row>
    <x:row r="101" ht="80" customHeight="1">
      <x:c r="A101" s="15"/>
      <x:c r="B101" s="15"/>
      <x:c r="C101" s="15"/>
      <x:c r="D101" s="16"/>
      <x:c r="E101" s="14"/>
      <x:c r="F101" s="14"/>
      <x:c r="G101" s="18"/>
      <x:c r="H101" s="17"/>
      <x:c r="I101" s="17"/>
      <x:c r="J101" s="17"/>
      <x:c r="K101" s="17"/>
      <x:c r="L101" s="14"/>
      <x:c r="M101" s="16"/>
      <x:c r="N101" s="14"/>
      <x:c r="O101" s="14"/>
      <x:c r="P101" s="18"/>
      <x:c r="Q101" s="15"/>
      <x:c r="R101" s="20" t="str">
        <x:f>IF(E101="","",IF(L101="Cancelado",0,IF(G101="",1,G101)*H101+I101-J101))</x:f>
      </x:c>
      <x:c r="S101" s="20" t="str">
        <x:f>IF(E101="","",SUMIFS('Pagos'!$D$2:$D$3001,'Pagos'!$B$2:$B$3001,A101,'Pagos'!$C$2:$C$3001,"Abono")-SUMIFS('Pagos'!$D$2:$D$3001,'Pagos'!$B$2:$B$3001,A101,'Pagos'!$C$2:$C$3001,"Devolución"))</x:f>
      </x:c>
      <x:c r="T101" s="20" t="str">
        <x:f>IF(E101="","",R101-S101)</x:f>
      </x:c>
      <x:c r="U101" s="14"/>
    </x:row>
  </x:sheetData>
  <x:conditionalFormatting sqref="T2:T101">
    <x:cfRule type="cellIs" dxfId="0" priority="1" operator="greaterThan">
      <x:formula>0</x:formula>
    </x:cfRule>
    <x:cfRule type="cellIs" dxfId="1" priority="2" operator="lessThan">
      <x:formula>0</x:formula>
    </x:cfRule>
  </x:conditionalFormatting>
  <x:dataValidations count="2">
    <x:dataValidation type="list" sqref="F2:F101">
      <x:formula1>"Temu,SHEIN"</x:formula1>
    </x:dataValidation>
    <x:dataValidation type="list" sqref="L2:L101">
      <x:formula1>"Pendiente,Pedido,En camino,Recibido,Entregado,Cancelado,Cambiado"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AF9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8" hidden="0" customWidth="1"/>
  </x:cols>
  <x:sheetData>
    <x:row r="1" ht="42" customHeight="1">
      <x:c r="A1" s="11" t="str">
        <x:v>ID Pago</x:v>
      </x:c>
      <x:c r="B1" s="12" t="str">
        <x:v>ID Pedido</x:v>
      </x:c>
      <x:c r="C1" s="12" t="str">
        <x:v>Tipo</x:v>
      </x:c>
      <x:c r="D1" s="12" t="str">
        <x:v>Monto</x:v>
      </x:c>
      <x:c r="E1" s="12" t="str">
        <x:v>Fecha</x:v>
      </x:c>
      <x:c r="F1" s="12" t="str">
        <x:v>Medio</x:v>
      </x:c>
      <x:c r="G1" s="13" t="str">
        <x:v>Nota</x:v>
      </x:c>
    </x:row>
    <x:row r="2" ht="26" customHeight="1">
      <x:c r="A2" s="15"/>
      <x:c r="B2" s="15"/>
      <x:c r="C2" s="14"/>
      <x:c r="D2" s="17"/>
      <x:c r="E2" s="16"/>
      <x:c r="F2" s="14"/>
      <x:c r="G2" s="14"/>
    </x:row>
    <x:row r="3" ht="26" customHeight="1">
      <x:c r="A3" s="15"/>
      <x:c r="B3" s="15"/>
      <x:c r="C3" s="14"/>
      <x:c r="D3" s="17"/>
      <x:c r="E3" s="16"/>
      <x:c r="F3" s="14"/>
      <x:c r="G3" s="14"/>
    </x:row>
    <x:row r="4" ht="26" customHeight="1">
      <x:c r="A4" s="15"/>
      <x:c r="B4" s="15"/>
      <x:c r="C4" s="14"/>
      <x:c r="D4" s="17"/>
      <x:c r="E4" s="16"/>
      <x:c r="F4" s="14"/>
      <x:c r="G4" s="14"/>
    </x:row>
    <x:row r="5" ht="26" customHeight="1">
      <x:c r="A5" s="15"/>
      <x:c r="B5" s="15"/>
      <x:c r="C5" s="14"/>
      <x:c r="D5" s="17"/>
      <x:c r="E5" s="16"/>
      <x:c r="F5" s="14"/>
      <x:c r="G5" s="14"/>
    </x:row>
    <x:row r="6" ht="26" customHeight="1">
      <x:c r="A6" s="15"/>
      <x:c r="B6" s="15"/>
      <x:c r="C6" s="14"/>
      <x:c r="D6" s="17"/>
      <x:c r="E6" s="16"/>
      <x:c r="F6" s="14"/>
      <x:c r="G6" s="14"/>
    </x:row>
    <x:row r="7" ht="26" customHeight="1">
      <x:c r="A7" s="15"/>
      <x:c r="B7" s="15"/>
      <x:c r="C7" s="14"/>
      <x:c r="D7" s="17"/>
      <x:c r="E7" s="16"/>
      <x:c r="F7" s="14"/>
      <x:c r="G7" s="14"/>
    </x:row>
    <x:row r="8" ht="26" customHeight="1">
      <x:c r="A8" s="15"/>
      <x:c r="B8" s="15"/>
      <x:c r="C8" s="14"/>
      <x:c r="D8" s="17"/>
      <x:c r="E8" s="16"/>
      <x:c r="F8" s="14"/>
      <x:c r="G8" s="14"/>
    </x:row>
    <x:row r="9" ht="26" customHeight="1">
      <x:c r="A9" s="15"/>
      <x:c r="B9" s="15"/>
      <x:c r="C9" s="14"/>
      <x:c r="D9" s="17"/>
      <x:c r="E9" s="16"/>
      <x:c r="F9" s="14"/>
      <x:c r="G9" s="14"/>
    </x:row>
    <x:row r="10" ht="26" customHeight="1">
      <x:c r="A10" s="15"/>
      <x:c r="B10" s="15"/>
      <x:c r="C10" s="14"/>
      <x:c r="D10" s="17"/>
      <x:c r="E10" s="16"/>
      <x:c r="F10" s="14"/>
      <x:c r="G10" s="14"/>
    </x:row>
    <x:row r="11" ht="26" customHeight="1">
      <x:c r="A11" s="15"/>
      <x:c r="B11" s="15"/>
      <x:c r="C11" s="14"/>
      <x:c r="D11" s="17"/>
      <x:c r="E11" s="16"/>
      <x:c r="F11" s="14"/>
      <x:c r="G11" s="14"/>
    </x:row>
    <x:row r="12" ht="26" customHeight="1">
      <x:c r="A12" s="15"/>
      <x:c r="B12" s="15"/>
      <x:c r="C12" s="14"/>
      <x:c r="D12" s="17"/>
      <x:c r="E12" s="16"/>
      <x:c r="F12" s="14"/>
      <x:c r="G12" s="14"/>
    </x:row>
    <x:row r="13" ht="26" customHeight="1">
      <x:c r="A13" s="15"/>
      <x:c r="B13" s="15"/>
      <x:c r="C13" s="14"/>
      <x:c r="D13" s="17"/>
      <x:c r="E13" s="16"/>
      <x:c r="F13" s="14"/>
      <x:c r="G13" s="14"/>
    </x:row>
    <x:row r="14" ht="26" customHeight="1">
      <x:c r="A14" s="15"/>
      <x:c r="B14" s="15"/>
      <x:c r="C14" s="14"/>
      <x:c r="D14" s="17"/>
      <x:c r="E14" s="16"/>
      <x:c r="F14" s="14"/>
      <x:c r="G14" s="14"/>
    </x:row>
    <x:row r="15" ht="26" customHeight="1">
      <x:c r="A15" s="15"/>
      <x:c r="B15" s="15"/>
      <x:c r="C15" s="14"/>
      <x:c r="D15" s="17"/>
      <x:c r="E15" s="16"/>
      <x:c r="F15" s="14"/>
      <x:c r="G15" s="14"/>
    </x:row>
    <x:row r="16" ht="26" customHeight="1">
      <x:c r="A16" s="15"/>
      <x:c r="B16" s="15"/>
      <x:c r="C16" s="14"/>
      <x:c r="D16" s="17"/>
      <x:c r="E16" s="16"/>
      <x:c r="F16" s="14"/>
      <x:c r="G16" s="14"/>
    </x:row>
    <x:row r="17" ht="26" customHeight="1">
      <x:c r="A17" s="15"/>
      <x:c r="B17" s="15"/>
      <x:c r="C17" s="14"/>
      <x:c r="D17" s="17"/>
      <x:c r="E17" s="16"/>
      <x:c r="F17" s="14"/>
      <x:c r="G17" s="14"/>
    </x:row>
    <x:row r="18" ht="26" customHeight="1">
      <x:c r="A18" s="15"/>
      <x:c r="B18" s="15"/>
      <x:c r="C18" s="14"/>
      <x:c r="D18" s="17"/>
      <x:c r="E18" s="16"/>
      <x:c r="F18" s="14"/>
      <x:c r="G18" s="14"/>
    </x:row>
    <x:row r="19" ht="26" customHeight="1">
      <x:c r="A19" s="15"/>
      <x:c r="B19" s="15"/>
      <x:c r="C19" s="14"/>
      <x:c r="D19" s="17"/>
      <x:c r="E19" s="16"/>
      <x:c r="F19" s="14"/>
      <x:c r="G19" s="14"/>
    </x:row>
    <x:row r="20" ht="26" customHeight="1">
      <x:c r="A20" s="15"/>
      <x:c r="B20" s="15"/>
      <x:c r="C20" s="14"/>
      <x:c r="D20" s="17"/>
      <x:c r="E20" s="16"/>
      <x:c r="F20" s="14"/>
      <x:c r="G20" s="14"/>
    </x:row>
    <x:row r="21" ht="26" customHeight="1">
      <x:c r="A21" s="15"/>
      <x:c r="B21" s="15"/>
      <x:c r="C21" s="14"/>
      <x:c r="D21" s="17"/>
      <x:c r="E21" s="16"/>
      <x:c r="F21" s="14"/>
      <x:c r="G21" s="14"/>
    </x:row>
    <x:row r="22" ht="26" customHeight="1">
      <x:c r="A22" s="15"/>
      <x:c r="B22" s="15"/>
      <x:c r="C22" s="14"/>
      <x:c r="D22" s="17"/>
      <x:c r="E22" s="16"/>
      <x:c r="F22" s="14"/>
      <x:c r="G22" s="14"/>
    </x:row>
    <x:row r="23" ht="26" customHeight="1">
      <x:c r="A23" s="15"/>
      <x:c r="B23" s="15"/>
      <x:c r="C23" s="14"/>
      <x:c r="D23" s="17"/>
      <x:c r="E23" s="16"/>
      <x:c r="F23" s="14"/>
      <x:c r="G23" s="14"/>
    </x:row>
    <x:row r="24" ht="26" customHeight="1">
      <x:c r="A24" s="15"/>
      <x:c r="B24" s="15"/>
      <x:c r="C24" s="14"/>
      <x:c r="D24" s="17"/>
      <x:c r="E24" s="16"/>
      <x:c r="F24" s="14"/>
      <x:c r="G24" s="14"/>
    </x:row>
    <x:row r="25" ht="26" customHeight="1">
      <x:c r="A25" s="15"/>
      <x:c r="B25" s="15"/>
      <x:c r="C25" s="14"/>
      <x:c r="D25" s="17"/>
      <x:c r="E25" s="16"/>
      <x:c r="F25" s="14"/>
      <x:c r="G25" s="14"/>
    </x:row>
    <x:row r="26" ht="26" customHeight="1">
      <x:c r="A26" s="15"/>
      <x:c r="B26" s="15"/>
      <x:c r="C26" s="14"/>
      <x:c r="D26" s="17"/>
      <x:c r="E26" s="16"/>
      <x:c r="F26" s="14"/>
      <x:c r="G26" s="14"/>
    </x:row>
    <x:row r="27" ht="26" customHeight="1">
      <x:c r="A27" s="15"/>
      <x:c r="B27" s="15"/>
      <x:c r="C27" s="14"/>
      <x:c r="D27" s="17"/>
      <x:c r="E27" s="16"/>
      <x:c r="F27" s="14"/>
      <x:c r="G27" s="14"/>
    </x:row>
    <x:row r="28" ht="26" customHeight="1">
      <x:c r="A28" s="15"/>
      <x:c r="B28" s="15"/>
      <x:c r="C28" s="14"/>
      <x:c r="D28" s="17"/>
      <x:c r="E28" s="16"/>
      <x:c r="F28" s="14"/>
      <x:c r="G28" s="14"/>
    </x:row>
    <x:row r="29" ht="26" customHeight="1">
      <x:c r="A29" s="15"/>
      <x:c r="B29" s="15"/>
      <x:c r="C29" s="14"/>
      <x:c r="D29" s="17"/>
      <x:c r="E29" s="16"/>
      <x:c r="F29" s="14"/>
      <x:c r="G29" s="14"/>
    </x:row>
    <x:row r="30" ht="26" customHeight="1">
      <x:c r="A30" s="15"/>
      <x:c r="B30" s="15"/>
      <x:c r="C30" s="14"/>
      <x:c r="D30" s="17"/>
      <x:c r="E30" s="16"/>
      <x:c r="F30" s="14"/>
      <x:c r="G30" s="14"/>
    </x:row>
    <x:row r="31" ht="26" customHeight="1">
      <x:c r="A31" s="15"/>
      <x:c r="B31" s="15"/>
      <x:c r="C31" s="14"/>
      <x:c r="D31" s="17"/>
      <x:c r="E31" s="16"/>
      <x:c r="F31" s="14"/>
      <x:c r="G31" s="14"/>
    </x:row>
    <x:row r="32" ht="26" customHeight="1">
      <x:c r="A32" s="15"/>
      <x:c r="B32" s="15"/>
      <x:c r="C32" s="14"/>
      <x:c r="D32" s="17"/>
      <x:c r="E32" s="16"/>
      <x:c r="F32" s="14"/>
      <x:c r="G32" s="14"/>
    </x:row>
    <x:row r="33" ht="26" customHeight="1">
      <x:c r="A33" s="15"/>
      <x:c r="B33" s="15"/>
      <x:c r="C33" s="14"/>
      <x:c r="D33" s="17"/>
      <x:c r="E33" s="16"/>
      <x:c r="F33" s="14"/>
      <x:c r="G33" s="14"/>
    </x:row>
    <x:row r="34" ht="26" customHeight="1">
      <x:c r="A34" s="15"/>
      <x:c r="B34" s="15"/>
      <x:c r="C34" s="14"/>
      <x:c r="D34" s="17"/>
      <x:c r="E34" s="16"/>
      <x:c r="F34" s="14"/>
      <x:c r="G34" s="14"/>
    </x:row>
    <x:row r="35" ht="26" customHeight="1">
      <x:c r="A35" s="15"/>
      <x:c r="B35" s="15"/>
      <x:c r="C35" s="14"/>
      <x:c r="D35" s="17"/>
      <x:c r="E35" s="16"/>
      <x:c r="F35" s="14"/>
      <x:c r="G35" s="14"/>
    </x:row>
    <x:row r="36" ht="26" customHeight="1">
      <x:c r="A36" s="15"/>
      <x:c r="B36" s="15"/>
      <x:c r="C36" s="14"/>
      <x:c r="D36" s="17"/>
      <x:c r="E36" s="16"/>
      <x:c r="F36" s="14"/>
      <x:c r="G36" s="14"/>
    </x:row>
    <x:row r="37" ht="26" customHeight="1">
      <x:c r="A37" s="15"/>
      <x:c r="B37" s="15"/>
      <x:c r="C37" s="14"/>
      <x:c r="D37" s="17"/>
      <x:c r="E37" s="16"/>
      <x:c r="F37" s="14"/>
      <x:c r="G37" s="14"/>
    </x:row>
    <x:row r="38" ht="26" customHeight="1">
      <x:c r="A38" s="15"/>
      <x:c r="B38" s="15"/>
      <x:c r="C38" s="14"/>
      <x:c r="D38" s="17"/>
      <x:c r="E38" s="16"/>
      <x:c r="F38" s="14"/>
      <x:c r="G38" s="14"/>
    </x:row>
    <x:row r="39" ht="26" customHeight="1">
      <x:c r="A39" s="15"/>
      <x:c r="B39" s="15"/>
      <x:c r="C39" s="14"/>
      <x:c r="D39" s="17"/>
      <x:c r="E39" s="16"/>
      <x:c r="F39" s="14"/>
      <x:c r="G39" s="14"/>
    </x:row>
    <x:row r="40" ht="26" customHeight="1">
      <x:c r="A40" s="15"/>
      <x:c r="B40" s="15"/>
      <x:c r="C40" s="14"/>
      <x:c r="D40" s="17"/>
      <x:c r="E40" s="16"/>
      <x:c r="F40" s="14"/>
      <x:c r="G40" s="14"/>
    </x:row>
    <x:row r="41" ht="26" customHeight="1">
      <x:c r="A41" s="15"/>
      <x:c r="B41" s="15"/>
      <x:c r="C41" s="14"/>
      <x:c r="D41" s="17"/>
      <x:c r="E41" s="16"/>
      <x:c r="F41" s="14"/>
      <x:c r="G41" s="14"/>
    </x:row>
    <x:row r="42" ht="26" customHeight="1">
      <x:c r="A42" s="15"/>
      <x:c r="B42" s="15"/>
      <x:c r="C42" s="14"/>
      <x:c r="D42" s="17"/>
      <x:c r="E42" s="16"/>
      <x:c r="F42" s="14"/>
      <x:c r="G42" s="14"/>
    </x:row>
    <x:row r="43" ht="26" customHeight="1">
      <x:c r="A43" s="15"/>
      <x:c r="B43" s="15"/>
      <x:c r="C43" s="14"/>
      <x:c r="D43" s="17"/>
      <x:c r="E43" s="16"/>
      <x:c r="F43" s="14"/>
      <x:c r="G43" s="14"/>
    </x:row>
    <x:row r="44" ht="26" customHeight="1">
      <x:c r="A44" s="15"/>
      <x:c r="B44" s="15"/>
      <x:c r="C44" s="14"/>
      <x:c r="D44" s="17"/>
      <x:c r="E44" s="16"/>
      <x:c r="F44" s="14"/>
      <x:c r="G44" s="14"/>
    </x:row>
    <x:row r="45" ht="26" customHeight="1">
      <x:c r="A45" s="15"/>
      <x:c r="B45" s="15"/>
      <x:c r="C45" s="14"/>
      <x:c r="D45" s="17"/>
      <x:c r="E45" s="16"/>
      <x:c r="F45" s="14"/>
      <x:c r="G45" s="14"/>
    </x:row>
    <x:row r="46" ht="26" customHeight="1">
      <x:c r="A46" s="15"/>
      <x:c r="B46" s="15"/>
      <x:c r="C46" s="14"/>
      <x:c r="D46" s="17"/>
      <x:c r="E46" s="16"/>
      <x:c r="F46" s="14"/>
      <x:c r="G46" s="14"/>
    </x:row>
    <x:row r="47" ht="26" customHeight="1">
      <x:c r="A47" s="15"/>
      <x:c r="B47" s="15"/>
      <x:c r="C47" s="14"/>
      <x:c r="D47" s="17"/>
      <x:c r="E47" s="16"/>
      <x:c r="F47" s="14"/>
      <x:c r="G47" s="14"/>
    </x:row>
    <x:row r="48" ht="26" customHeight="1">
      <x:c r="A48" s="15"/>
      <x:c r="B48" s="15"/>
      <x:c r="C48" s="14"/>
      <x:c r="D48" s="17"/>
      <x:c r="E48" s="16"/>
      <x:c r="F48" s="14"/>
      <x:c r="G48" s="14"/>
    </x:row>
    <x:row r="49" ht="26" customHeight="1">
      <x:c r="A49" s="15"/>
      <x:c r="B49" s="15"/>
      <x:c r="C49" s="14"/>
      <x:c r="D49" s="17"/>
      <x:c r="E49" s="16"/>
      <x:c r="F49" s="14"/>
      <x:c r="G49" s="14"/>
    </x:row>
    <x:row r="50" ht="26" customHeight="1">
      <x:c r="A50" s="15"/>
      <x:c r="B50" s="15"/>
      <x:c r="C50" s="14"/>
      <x:c r="D50" s="17"/>
      <x:c r="E50" s="16"/>
      <x:c r="F50" s="14"/>
      <x:c r="G50" s="14"/>
    </x:row>
    <x:row r="51" ht="26" customHeight="1">
      <x:c r="A51" s="15"/>
      <x:c r="B51" s="15"/>
      <x:c r="C51" s="14"/>
      <x:c r="D51" s="17"/>
      <x:c r="E51" s="16"/>
      <x:c r="F51" s="14"/>
      <x:c r="G51" s="14"/>
    </x:row>
    <x:row r="52" ht="26" customHeight="1">
      <x:c r="A52" s="15"/>
      <x:c r="B52" s="15"/>
      <x:c r="C52" s="14"/>
      <x:c r="D52" s="17"/>
      <x:c r="E52" s="16"/>
      <x:c r="F52" s="14"/>
      <x:c r="G52" s="14"/>
    </x:row>
    <x:row r="53" ht="26" customHeight="1">
      <x:c r="A53" s="15"/>
      <x:c r="B53" s="15"/>
      <x:c r="C53" s="14"/>
      <x:c r="D53" s="17"/>
      <x:c r="E53" s="16"/>
      <x:c r="F53" s="14"/>
      <x:c r="G53" s="14"/>
    </x:row>
    <x:row r="54" ht="26" customHeight="1">
      <x:c r="A54" s="15"/>
      <x:c r="B54" s="15"/>
      <x:c r="C54" s="14"/>
      <x:c r="D54" s="17"/>
      <x:c r="E54" s="16"/>
      <x:c r="F54" s="14"/>
      <x:c r="G54" s="14"/>
    </x:row>
    <x:row r="55" ht="26" customHeight="1">
      <x:c r="A55" s="15"/>
      <x:c r="B55" s="15"/>
      <x:c r="C55" s="14"/>
      <x:c r="D55" s="17"/>
      <x:c r="E55" s="16"/>
      <x:c r="F55" s="14"/>
      <x:c r="G55" s="14"/>
    </x:row>
    <x:row r="56" ht="26" customHeight="1">
      <x:c r="A56" s="15"/>
      <x:c r="B56" s="15"/>
      <x:c r="C56" s="14"/>
      <x:c r="D56" s="17"/>
      <x:c r="E56" s="16"/>
      <x:c r="F56" s="14"/>
      <x:c r="G56" s="14"/>
    </x:row>
    <x:row r="57" ht="26" customHeight="1">
      <x:c r="A57" s="15"/>
      <x:c r="B57" s="15"/>
      <x:c r="C57" s="14"/>
      <x:c r="D57" s="17"/>
      <x:c r="E57" s="16"/>
      <x:c r="F57" s="14"/>
      <x:c r="G57" s="14"/>
    </x:row>
    <x:row r="58" ht="26" customHeight="1">
      <x:c r="A58" s="15"/>
      <x:c r="B58" s="15"/>
      <x:c r="C58" s="14"/>
      <x:c r="D58" s="17"/>
      <x:c r="E58" s="16"/>
      <x:c r="F58" s="14"/>
      <x:c r="G58" s="14"/>
    </x:row>
    <x:row r="59" ht="26" customHeight="1">
      <x:c r="A59" s="15"/>
      <x:c r="B59" s="15"/>
      <x:c r="C59" s="14"/>
      <x:c r="D59" s="17"/>
      <x:c r="E59" s="16"/>
      <x:c r="F59" s="14"/>
      <x:c r="G59" s="14"/>
    </x:row>
    <x:row r="60" ht="26" customHeight="1">
      <x:c r="A60" s="15"/>
      <x:c r="B60" s="15"/>
      <x:c r="C60" s="14"/>
      <x:c r="D60" s="17"/>
      <x:c r="E60" s="16"/>
      <x:c r="F60" s="14"/>
      <x:c r="G60" s="14"/>
    </x:row>
    <x:row r="61" ht="26" customHeight="1">
      <x:c r="A61" s="15"/>
      <x:c r="B61" s="15"/>
      <x:c r="C61" s="14"/>
      <x:c r="D61" s="17"/>
      <x:c r="E61" s="16"/>
      <x:c r="F61" s="14"/>
      <x:c r="G61" s="14"/>
    </x:row>
    <x:row r="62" ht="26" customHeight="1">
      <x:c r="A62" s="15"/>
      <x:c r="B62" s="15"/>
      <x:c r="C62" s="14"/>
      <x:c r="D62" s="17"/>
      <x:c r="E62" s="16"/>
      <x:c r="F62" s="14"/>
      <x:c r="G62" s="14"/>
    </x:row>
    <x:row r="63" ht="26" customHeight="1">
      <x:c r="A63" s="15"/>
      <x:c r="B63" s="15"/>
      <x:c r="C63" s="14"/>
      <x:c r="D63" s="17"/>
      <x:c r="E63" s="16"/>
      <x:c r="F63" s="14"/>
      <x:c r="G63" s="14"/>
    </x:row>
    <x:row r="64" ht="26" customHeight="1">
      <x:c r="A64" s="15"/>
      <x:c r="B64" s="15"/>
      <x:c r="C64" s="14"/>
      <x:c r="D64" s="17"/>
      <x:c r="E64" s="16"/>
      <x:c r="F64" s="14"/>
      <x:c r="G64" s="14"/>
    </x:row>
    <x:row r="65" ht="26" customHeight="1">
      <x:c r="A65" s="15"/>
      <x:c r="B65" s="15"/>
      <x:c r="C65" s="14"/>
      <x:c r="D65" s="17"/>
      <x:c r="E65" s="16"/>
      <x:c r="F65" s="14"/>
      <x:c r="G65" s="14"/>
    </x:row>
    <x:row r="66" ht="26" customHeight="1">
      <x:c r="A66" s="15"/>
      <x:c r="B66" s="15"/>
      <x:c r="C66" s="14"/>
      <x:c r="D66" s="17"/>
      <x:c r="E66" s="16"/>
      <x:c r="F66" s="14"/>
      <x:c r="G66" s="14"/>
    </x:row>
    <x:row r="67" ht="26" customHeight="1">
      <x:c r="A67" s="15"/>
      <x:c r="B67" s="15"/>
      <x:c r="C67" s="14"/>
      <x:c r="D67" s="17"/>
      <x:c r="E67" s="16"/>
      <x:c r="F67" s="14"/>
      <x:c r="G67" s="14"/>
    </x:row>
    <x:row r="68" ht="26" customHeight="1">
      <x:c r="A68" s="15"/>
      <x:c r="B68" s="15"/>
      <x:c r="C68" s="14"/>
      <x:c r="D68" s="17"/>
      <x:c r="E68" s="16"/>
      <x:c r="F68" s="14"/>
      <x:c r="G68" s="14"/>
    </x:row>
    <x:row r="69" ht="26" customHeight="1">
      <x:c r="A69" s="15"/>
      <x:c r="B69" s="15"/>
      <x:c r="C69" s="14"/>
      <x:c r="D69" s="17"/>
      <x:c r="E69" s="16"/>
      <x:c r="F69" s="14"/>
      <x:c r="G69" s="14"/>
    </x:row>
    <x:row r="70" ht="26" customHeight="1">
      <x:c r="A70" s="15"/>
      <x:c r="B70" s="15"/>
      <x:c r="C70" s="14"/>
      <x:c r="D70" s="17"/>
      <x:c r="E70" s="16"/>
      <x:c r="F70" s="14"/>
      <x:c r="G70" s="14"/>
    </x:row>
    <x:row r="71" ht="26" customHeight="1">
      <x:c r="A71" s="15"/>
      <x:c r="B71" s="15"/>
      <x:c r="C71" s="14"/>
      <x:c r="D71" s="17"/>
      <x:c r="E71" s="16"/>
      <x:c r="F71" s="14"/>
      <x:c r="G71" s="14"/>
    </x:row>
    <x:row r="72" ht="26" customHeight="1">
      <x:c r="A72" s="15"/>
      <x:c r="B72" s="15"/>
      <x:c r="C72" s="14"/>
      <x:c r="D72" s="17"/>
      <x:c r="E72" s="16"/>
      <x:c r="F72" s="14"/>
      <x:c r="G72" s="14"/>
    </x:row>
    <x:row r="73" ht="26" customHeight="1">
      <x:c r="A73" s="15"/>
      <x:c r="B73" s="15"/>
      <x:c r="C73" s="14"/>
      <x:c r="D73" s="17"/>
      <x:c r="E73" s="16"/>
      <x:c r="F73" s="14"/>
      <x:c r="G73" s="14"/>
    </x:row>
    <x:row r="74" ht="26" customHeight="1">
      <x:c r="A74" s="15"/>
      <x:c r="B74" s="15"/>
      <x:c r="C74" s="14"/>
      <x:c r="D74" s="17"/>
      <x:c r="E74" s="16"/>
      <x:c r="F74" s="14"/>
      <x:c r="G74" s="14"/>
    </x:row>
    <x:row r="75" ht="26" customHeight="1">
      <x:c r="A75" s="15"/>
      <x:c r="B75" s="15"/>
      <x:c r="C75" s="14"/>
      <x:c r="D75" s="17"/>
      <x:c r="E75" s="16"/>
      <x:c r="F75" s="14"/>
      <x:c r="G75" s="14"/>
    </x:row>
    <x:row r="76" ht="26" customHeight="1">
      <x:c r="A76" s="15"/>
      <x:c r="B76" s="15"/>
      <x:c r="C76" s="14"/>
      <x:c r="D76" s="17"/>
      <x:c r="E76" s="16"/>
      <x:c r="F76" s="14"/>
      <x:c r="G76" s="14"/>
    </x:row>
    <x:row r="77" ht="26" customHeight="1">
      <x:c r="A77" s="15"/>
      <x:c r="B77" s="15"/>
      <x:c r="C77" s="14"/>
      <x:c r="D77" s="17"/>
      <x:c r="E77" s="16"/>
      <x:c r="F77" s="14"/>
      <x:c r="G77" s="14"/>
    </x:row>
    <x:row r="78" ht="26" customHeight="1">
      <x:c r="A78" s="15"/>
      <x:c r="B78" s="15"/>
      <x:c r="C78" s="14"/>
      <x:c r="D78" s="17"/>
      <x:c r="E78" s="16"/>
      <x:c r="F78" s="14"/>
      <x:c r="G78" s="14"/>
    </x:row>
    <x:row r="79" ht="26" customHeight="1">
      <x:c r="A79" s="15"/>
      <x:c r="B79" s="15"/>
      <x:c r="C79" s="14"/>
      <x:c r="D79" s="17"/>
      <x:c r="E79" s="16"/>
      <x:c r="F79" s="14"/>
      <x:c r="G79" s="14"/>
    </x:row>
    <x:row r="80" ht="26" customHeight="1">
      <x:c r="A80" s="15"/>
      <x:c r="B80" s="15"/>
      <x:c r="C80" s="14"/>
      <x:c r="D80" s="17"/>
      <x:c r="E80" s="16"/>
      <x:c r="F80" s="14"/>
      <x:c r="G80" s="14"/>
    </x:row>
    <x:row r="81" ht="26" customHeight="1">
      <x:c r="A81" s="15"/>
      <x:c r="B81" s="15"/>
      <x:c r="C81" s="14"/>
      <x:c r="D81" s="17"/>
      <x:c r="E81" s="16"/>
      <x:c r="F81" s="14"/>
      <x:c r="G81" s="14"/>
    </x:row>
    <x:row r="82" ht="26" customHeight="1">
      <x:c r="A82" s="15"/>
      <x:c r="B82" s="15"/>
      <x:c r="C82" s="14"/>
      <x:c r="D82" s="17"/>
      <x:c r="E82" s="16"/>
      <x:c r="F82" s="14"/>
      <x:c r="G82" s="14"/>
    </x:row>
    <x:row r="83" ht="26" customHeight="1">
      <x:c r="A83" s="15"/>
      <x:c r="B83" s="15"/>
      <x:c r="C83" s="14"/>
      <x:c r="D83" s="17"/>
      <x:c r="E83" s="16"/>
      <x:c r="F83" s="14"/>
      <x:c r="G83" s="14"/>
    </x:row>
    <x:row r="84" ht="26" customHeight="1">
      <x:c r="A84" s="15"/>
      <x:c r="B84" s="15"/>
      <x:c r="C84" s="14"/>
      <x:c r="D84" s="17"/>
      <x:c r="E84" s="16"/>
      <x:c r="F84" s="14"/>
      <x:c r="G84" s="14"/>
    </x:row>
    <x:row r="85" ht="26" customHeight="1">
      <x:c r="A85" s="15"/>
      <x:c r="B85" s="15"/>
      <x:c r="C85" s="14"/>
      <x:c r="D85" s="17"/>
      <x:c r="E85" s="16"/>
      <x:c r="F85" s="14"/>
      <x:c r="G85" s="14"/>
    </x:row>
    <x:row r="86" ht="26" customHeight="1">
      <x:c r="A86" s="15"/>
      <x:c r="B86" s="15"/>
      <x:c r="C86" s="14"/>
      <x:c r="D86" s="17"/>
      <x:c r="E86" s="16"/>
      <x:c r="F86" s="14"/>
      <x:c r="G86" s="14"/>
    </x:row>
    <x:row r="87" ht="26" customHeight="1">
      <x:c r="A87" s="15"/>
      <x:c r="B87" s="15"/>
      <x:c r="C87" s="14"/>
      <x:c r="D87" s="17"/>
      <x:c r="E87" s="16"/>
      <x:c r="F87" s="14"/>
      <x:c r="G87" s="14"/>
    </x:row>
    <x:row r="88" ht="26" customHeight="1">
      <x:c r="A88" s="15"/>
      <x:c r="B88" s="15"/>
      <x:c r="C88" s="14"/>
      <x:c r="D88" s="17"/>
      <x:c r="E88" s="16"/>
      <x:c r="F88" s="14"/>
      <x:c r="G88" s="14"/>
    </x:row>
    <x:row r="89" ht="26" customHeight="1">
      <x:c r="A89" s="15"/>
      <x:c r="B89" s="15"/>
      <x:c r="C89" s="14"/>
      <x:c r="D89" s="17"/>
      <x:c r="E89" s="16"/>
      <x:c r="F89" s="14"/>
      <x:c r="G89" s="14"/>
    </x:row>
    <x:row r="90" ht="26" customHeight="1">
      <x:c r="A90" s="15"/>
      <x:c r="B90" s="15"/>
      <x:c r="C90" s="14"/>
      <x:c r="D90" s="17"/>
      <x:c r="E90" s="16"/>
      <x:c r="F90" s="14"/>
      <x:c r="G90" s="14"/>
    </x:row>
    <x:row r="91" ht="26" customHeight="1">
      <x:c r="A91" s="15"/>
      <x:c r="B91" s="15"/>
      <x:c r="C91" s="14"/>
      <x:c r="D91" s="17"/>
      <x:c r="E91" s="16"/>
      <x:c r="F91" s="14"/>
      <x:c r="G91" s="14"/>
    </x:row>
    <x:row r="92" ht="26" customHeight="1">
      <x:c r="A92" s="15"/>
      <x:c r="B92" s="15"/>
      <x:c r="C92" s="14"/>
      <x:c r="D92" s="17"/>
      <x:c r="E92" s="16"/>
      <x:c r="F92" s="14"/>
      <x:c r="G92" s="14"/>
    </x:row>
    <x:row r="93" ht="26" customHeight="1">
      <x:c r="A93" s="15"/>
      <x:c r="B93" s="15"/>
      <x:c r="C93" s="14"/>
      <x:c r="D93" s="17"/>
      <x:c r="E93" s="16"/>
      <x:c r="F93" s="14"/>
      <x:c r="G93" s="14"/>
    </x:row>
    <x:row r="94" ht="26" customHeight="1">
      <x:c r="A94" s="15"/>
      <x:c r="B94" s="15"/>
      <x:c r="C94" s="14"/>
      <x:c r="D94" s="17"/>
      <x:c r="E94" s="16"/>
      <x:c r="F94" s="14"/>
      <x:c r="G94" s="14"/>
    </x:row>
    <x:row r="95" ht="26" customHeight="1">
      <x:c r="A95" s="15"/>
      <x:c r="B95" s="15"/>
      <x:c r="C95" s="14"/>
      <x:c r="D95" s="17"/>
      <x:c r="E95" s="16"/>
      <x:c r="F95" s="14"/>
      <x:c r="G95" s="14"/>
    </x:row>
    <x:row r="96" ht="26" customHeight="1">
      <x:c r="A96" s="15"/>
      <x:c r="B96" s="15"/>
      <x:c r="C96" s="14"/>
      <x:c r="D96" s="17"/>
      <x:c r="E96" s="16"/>
      <x:c r="F96" s="14"/>
      <x:c r="G96" s="14"/>
    </x:row>
    <x:row r="97" ht="26" customHeight="1">
      <x:c r="A97" s="15"/>
      <x:c r="B97" s="15"/>
      <x:c r="C97" s="14"/>
      <x:c r="D97" s="17"/>
      <x:c r="E97" s="16"/>
      <x:c r="F97" s="14"/>
      <x:c r="G97" s="14"/>
    </x:row>
    <x:row r="98" ht="26" customHeight="1">
      <x:c r="A98" s="15"/>
      <x:c r="B98" s="15"/>
      <x:c r="C98" s="14"/>
      <x:c r="D98" s="17"/>
      <x:c r="E98" s="16"/>
      <x:c r="F98" s="14"/>
      <x:c r="G98" s="14"/>
    </x:row>
    <x:row r="99" ht="26" customHeight="1">
      <x:c r="A99" s="15"/>
      <x:c r="B99" s="15"/>
      <x:c r="C99" s="14"/>
      <x:c r="D99" s="17"/>
      <x:c r="E99" s="16"/>
      <x:c r="F99" s="14"/>
      <x:c r="G99" s="14"/>
    </x:row>
    <x:row r="100" ht="26" customHeight="1">
      <x:c r="A100" s="15"/>
      <x:c r="B100" s="15"/>
      <x:c r="C100" s="14"/>
      <x:c r="D100" s="17"/>
      <x:c r="E100" s="16"/>
      <x:c r="F100" s="14"/>
      <x:c r="G100" s="14"/>
    </x:row>
    <x:row r="101" ht="26" customHeight="1">
      <x:c r="A101" s="15"/>
      <x:c r="B101" s="15"/>
      <x:c r="C101" s="14"/>
      <x:c r="D101" s="17"/>
      <x:c r="E101" s="16"/>
      <x:c r="F101" s="14"/>
      <x:c r="G101" s="14"/>
    </x:row>
  </x:sheetData>
  <x:dataValidations count="2">
    <x:dataValidation type="list" sqref="C2:C101">
      <x:formula1>"Abono,Devolución"</x:formula1>
    </x:dataValidation>
    <x:dataValidation type="list" sqref="F2:F101">
      <x:formula1>"Efectivo,Banreservas,BHD,Popular,MIO,Otro"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CB6B0"/>
  </x:sheetPr>
  <x:sheetViews>
    <x:sheetView showGridLines="0" workbookViewId="0"/>
  </x:sheetViews>
  <x:sheetFormatPr defaultRowHeight="15"/>
  <x:cols>
    <x:col min="1" max="1" width="27" hidden="0" customWidth="1"/>
    <x:col min="2" max="2" width="104" hidden="0" customWidth="1"/>
  </x:cols>
  <x:sheetData>
    <x:row r="1">
      <x:c r="A1" s="1"/>
      <x:c r="B1" s="1"/>
    </x:row>
    <x:row r="2">
      <x:c r="A2" s="21" t="str">
        <x:v>Cómo usar tus pedidos</x:v>
      </x:c>
      <x:c r="B2" s="1"/>
    </x:row>
    <x:row r="3">
      <x:c r="A3" s="1"/>
      <x:c r="B3" s="1"/>
    </x:row>
    <x:row r="4" ht="48" customHeight="1">
      <x:c r="A4" s="25" t="str">
        <x:v>Moneda</x:v>
      </x:c>
      <x:c r="B4" s="26" t="str">
        <x:v>Todos los importes son pesos dominicanos (RD$). Escribe números con máximo dos decimales, sin añadir RD$ dentro de la celda.</x:v>
      </x:c>
    </x:row>
    <x:row r="5" ht="48" customHeight="1">
      <x:c r="A5" s="25" t="str">
        <x:v>Una fila por artículo</x:v>
      </x:c>
      <x:c r="B5" s="26" t="str">
        <x:v>En Pedidos, completa ID Pedido, Cliente, Fecha, Artículo y Precio unitario. Unidades vacías significa 1. Plataforma vacía significa Temu. Estado vacío significa Pendiente.</x:v>
      </x:c>
    </x:row>
    <x:row r="6" ht="48" customHeight="1">
      <x:c r="A6" s="25" t="str">
        <x:v>Códigos que no cambian</x:v>
      </x:c>
      <x:c r="B6" s="26" t="str">
        <x:v>Escribe un ID propio para cada artículo: P-001, P-002, etc. No lo reutilices. Los pagos se relacionan con este ID. En exportaciones, conserva ID Pedido y Revisión.</x:v>
      </x:c>
    </x:row>
    <x:row r="7" ht="48" customHeight="1">
      <x:c r="A7" s="25" t="str">
        <x:v>Cliente</x:v>
      </x:c>
      <x:c r="B7" s="26" t="str">
        <x:v>Repite el mismo nombre y teléfono en todos los artículos de esa persona. El teléfono se guarda como texto para conservar sus números y símbolos.</x:v>
      </x:c>
    </x:row>
    <x:row r="8" ht="48" customHeight="1">
      <x:c r="A8" s="25" t="str">
        <x:v>Fechas</x:v>
      </x:c>
      <x:c r="B8" s="26" t="str">
        <x:v>Usa fechas reales de Excel o AAAA-MM-DD. La fecha de entrega puede quedar vacía si todavía no la conoces.</x:v>
      </x:c>
    </x:row>
    <x:row r="9" ht="48" customHeight="1">
      <x:c r="A9" s="25" t="str">
        <x:v>Cobro al cliente</x:v>
      </x:c>
      <x:c r="B9" s="26" t="str">
        <x:v>Total a cobrar = Unidades × Precio unitario + Cargos extra − Descuento. Para Cancelado, el total a cobrar pasa a cero.</x:v>
      </x:c>
    </x:row>
    <x:row r="10" ht="48" customHeight="1">
      <x:c r="A10" s="25" t="str">
        <x:v>Pagado a tienda</x:v>
      </x:c>
      <x:c r="B10" s="26" t="str">
        <x:v>Es lo que tú pagaste a Temu o SHEIN por ese artículo. Se mantiene separado de lo que abonó el cliente.</x:v>
      </x:c>
    </x:row>
    <x:row r="11" ht="48" customHeight="1">
      <x:c r="A11" s="25" t="str">
        <x:v>Pagos del cliente</x:v>
      </x:c>
      <x:c r="B11" s="26" t="str">
        <x:v>En Pagos, registra una fila por movimiento: ID Pago único, ID Pedido, Tipo (Abono o Devolución), Monto positivo, Fecha y Medio. No repitas un pago en otra fila.</x:v>
      </x:c>
    </x:row>
    <x:row r="12" ht="48" customHeight="1">
      <x:c r="A12" s="25" t="str">
        <x:v>Efectivo y depósitos</x:v>
      </x:c>
      <x:c r="B12" s="26" t="str">
        <x:v>Usa Medio para distinguir Efectivo, Banreservas, BHD, Popular, MIO u Otro. Tanto el efectivo como el depósito son dinero recibido del cliente.</x:v>
      </x:c>
    </x:row>
    <x:row r="13" ht="48" customHeight="1">
      <x:c r="A13" s="25" t="str">
        <x:v>Saldo pendiente</x:v>
      </x:c>
      <x:c r="B13" s="26" t="str">
        <x:v>Es el total a cobrar menos abonos, más devoluciones. Un saldo positivo es lo que falta por cobrar. Un saldo negativo es dinero a favor del cliente.</x:v>
      </x:c>
    </x:row>
    <x:row r="14" ht="48" customHeight="1">
      <x:c r="A14" s="25" t="str">
        <x:v>Fotos del artículo</x:v>
      </x:c>
      <x:c r="B14" s="26" t="str">
        <x:v>En Excel, inserta una foto JPG o PNG en la columna Foto. Puedes usar Colocar en celda o Colocar sobre celdas. En la segunda opción, ajusta la foto para que quede dentro de una sola fila.</x:v>
      </x:c>
    </x:row>
    <x:row r="15" ht="48" customHeight="1">
      <x:c r="A15" s="25" t="str">
        <x:v>Una foto por artículo</x:v>
      </x:c>
      <x:c r="B15" s="26" t="str">
        <x:v>Deja una sola foto por fila. No coloques una foto atravesando dos filas. Puedes aumentar la altura de una fila antes de ajustar su foto.</x:v>
      </x:c>
    </x:row>
    <x:row r="16" ht="48" customHeight="1">
      <x:c r="A16" s="25" t="str">
        <x:v>Fotos en celda</x:v>
      </x:c>
      <x:c r="B16" s="26" t="str">
        <x:v>Selecciona la celda Foto de la fila correcta y usa Insertar imagen, Colocar en celda. También se admiten fotos WebP en celda. Revisa la foto y el artículo juntos antes de confirmar la carga.</x:v>
      </x:c>
    </x:row>
    <x:row r="17" ht="48" customHeight="1">
      <x:c r="A17" s="25" t="str">
        <x:v>Columna Foto</x:v>
      </x:c>
      <x:c r="B17" s="26" t="str">
        <x:v>Para artículos nuevos, coloca aquí la foto del artículo. En archivos exportados puede aparecer un código de la foto guardada debajo de una imagen sobre celdas. Conserva ese código.</x:v>
      </x:c>
    </x:row>
    <x:row r="18" ht="48" customHeight="1">
      <x:c r="A18" s="25" t="str">
        <x:v>Fórmulas</x:v>
      </x:c>
      <x:c r="B18" s="26" t="str">
        <x:v>Las columnas Total a cobrar, Pagado por cliente y Saldo pendiente se calculan para las primeras 100 filas. En las columnas de entrada escribe valores; la app no importa fórmulas.</x:v>
      </x:c>
    </x:row>
    <x:row r="19" ht="48" customHeight="1">
      <x:c r="A19" s="25" t="str">
        <x:v>Subir a la app</x:v>
      </x:c>
      <x:c r="B19" s="26" t="str">
        <x:v>Guarda el archivo .xlsx y pulsa Subir Excel en la app. Revisa clientes, artículos, precios y fotos en la vista previa. Solo se guardan al pulsar Confirmar importación.</x:v>
      </x:c>
    </x:row>
    <x:row r="20" ht="48" customHeight="1">
      <x:c r="A20" s="25" t="str">
        <x:v>Excel online</x:v>
      </x:c>
      <x:c r="B20" s="26" t="str">
        <x:v>Puedes editar esta plantilla en Excel online. Al terminar, descarga una copia .xlsx y súbela a la app. La edición online no se sincroniza automáticamente con la app.</x:v>
      </x:c>
    </x:row>
    <x:row r="21" ht="48" customHeight="1">
      <x:c r="A21" s="25" t="str">
        <x:v>Editar pedidos guardados</x:v>
      </x:c>
      <x:c r="B21" s="26" t="str">
        <x:v>Primero exporta tus pedidos desde la app. Modifica ese archivo y conserva los IDs y revisiones. Si alguien hizo cambios mientras editabas, la app pedirá una exportación actualizada.</x:v>
      </x:c>
    </x:row>
    <x:row r="22" ht="48" customHeight="1">
      <x:c r="A22" s="25" t="str">
        <x:v>IDs obligatorios</x:v>
      </x:c>
      <x:c r="B22" s="26" t="str">
        <x:v>Cada artículo necesita su ID Pedido y cada movimiento su ID Pago. Mantén estos códigos al editar el archivo. Así la app puede reconocer registros existentes sin duplicarlos.</x:v>
      </x:c>
    </x:row>
    <x:row r="23" ht="48" customHeight="1">
      <x:c r="A23" s="25" t="str">
        <x:v>Cambios y cancelaciones</x:v>
      </x:c>
      <x:c r="B23" s="26" t="str">
        <x:v>Los cambios y devoluciones deben quedar registrados en la app. Un cambio de estado por sí solo no registra un pago, una devolución ni el historial de un cambio de prenda.</x:v>
      </x:c>
    </x:row>
    <x:row r="24" ht="48" customHeight="1">
      <x:c r="A24" s="25" t="str">
        <x:v>Límites de carga</x:v>
      </x:c>
      <x:c r="B24" s="26" t="str">
        <x:v>Cada Excel debe pesar 5 MB o menos, con hasta 1,500 artículos y 3,000 pagos. Usa JPG o PNG; para fotos en celda también se admite WebP. Divide archivos grandes en varios lotes.</x:v>
      </x:c>
    </x:row>
    <x:row r="25" ht="48" customHeight="1">
      <x:c r="A25" s="25" t="str">
        <x:v>Más filas en Excel</x:v>
      </x:c>
      <x:c r="B25" s="26" t="str">
        <x:v>Puedes añadir más filas bajo los encabezados. Copia las fórmulas R:T desde la última fila con fórmulas si quieres seguir viendo sus saldos dentro de Excel.</x:v>
      </x:c>
    </x:row>
    <x:row r="26" ht="48" customHeight="1">
      <x:c r="A26" s="25" t="str">
        <x:v>Ejemplo sin datos reales</x:v>
      </x:c>
      <x:c r="B26" s="26" t="str">
        <x:v>Artículo P-001: 2 unidades × RD$ 500 = RD$ 1,000. Un abono A-001 de RD$ 300 para P-001 deja RD$ 700 pendientes. Es un ejemplo; no está cargado en Pedidos ni Pagos.</x:v>
      </x:c>
    </x:row>
  </x:sheetData>
  <x:pageMargins left="0.7" right="0.7" top="0.75" bottom="0.75" header="0.3" footer="0.3"/>
</x:worksheet>
</file>